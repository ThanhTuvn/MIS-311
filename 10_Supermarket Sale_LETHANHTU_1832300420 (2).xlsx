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TUDY_EIU\2026\học kì 3 2025-2026\MIS 311\w5\"/>
    </mc:Choice>
  </mc:AlternateContent>
  <xr:revisionPtr revIDLastSave="0" documentId="13_ncr:1_{265AF8A6-F117-4263-89C5-166BCC721DDA}" xr6:coauthVersionLast="47" xr6:coauthVersionMax="47" xr10:uidLastSave="{00000000-0000-0000-0000-000000000000}"/>
  <bookViews>
    <workbookView xWindow="-110" yWindow="-110" windowWidth="19420" windowHeight="10300" activeTab="1" xr2:uid="{79F3EB0C-DA9F-4A11-A5D8-569247B8F7D0}"/>
  </bookViews>
  <sheets>
    <sheet name="1" sheetId="5" r:id="rId1"/>
    <sheet name="2" sheetId="4" r:id="rId2"/>
    <sheet name="3" sheetId="3" r:id="rId3"/>
    <sheet name="sales" sheetId="1" r:id="rId4"/>
  </sheets>
  <definedNames>
    <definedName name="_xlnm._FilterDatabase" localSheetId="3" hidden="1">sales!$A$1:$I$256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G3" i="1" a="1"/>
  <c r="G3" i="1" s="1"/>
  <c r="G4" i="1" a="1"/>
  <c r="G4" i="1" s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 s="1"/>
  <c r="G12" i="1" a="1"/>
  <c r="G12" i="1" s="1"/>
  <c r="G13" i="1" a="1"/>
  <c r="G13" i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/>
  <c r="G36" i="1" a="1"/>
  <c r="G36" i="1" s="1"/>
  <c r="G37" i="1" a="1"/>
  <c r="G37" i="1" s="1"/>
  <c r="G38" i="1" a="1"/>
  <c r="G38" i="1" s="1"/>
  <c r="G39" i="1" a="1"/>
  <c r="G39" i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/>
  <c r="G231" i="1" a="1"/>
  <c r="G231" i="1" s="1"/>
  <c r="G232" i="1" a="1"/>
  <c r="G232" i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/>
  <c r="G250" i="1" a="1"/>
  <c r="G250" i="1" s="1"/>
  <c r="G251" i="1" a="1"/>
  <c r="G251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<sst xmlns="http://schemas.openxmlformats.org/spreadsheetml/2006/main" count="1322" uniqueCount="46">
  <si>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</si>
  <si>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</si>
  <si>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</si>
  <si>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</si>
  <si>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</si>
  <si>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</si>
  <si>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</si>
  <si>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</si>
  <si>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</si>
  <si>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</si>
  <si>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</si>
  <si>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</si>
  <si>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</si>
  <si>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</si>
  <si>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</si>
  <si>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</si>
  <si>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</si>
  <si>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</si>
  <si>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</si>
  <si>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Median</t>
  </si>
  <si>
    <t>Revenue</t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</si>
  <si>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</si>
  <si>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</si>
  <si>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</si>
  <si>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</si>
  <si>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</si>
  <si>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</si>
  <si>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</si>
  <si>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</si>
  <si>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</si>
  <si>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</si>
  <si>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</si>
  <si>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</si>
  <si>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Clean_category</t>
  </si>
  <si>
    <t>Branch</t>
  </si>
  <si>
    <t>Quantity</t>
  </si>
  <si>
    <t>Total_price</t>
  </si>
  <si>
    <t>Sale_id</t>
  </si>
  <si>
    <t>City</t>
  </si>
  <si>
    <t>Customer_type</t>
  </si>
  <si>
    <t>Product_name</t>
  </si>
  <si>
    <t>Product_category</t>
  </si>
  <si>
    <t>Row Labels</t>
  </si>
  <si>
    <t>Grand Total</t>
  </si>
  <si>
    <t>Sum of Total_price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</si>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</sst>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i/>
      <sz val="16"/>
      <color theme="9" tint="-0.499984740745262"/>
      <name val="Aptos Narrow"/>
      <family val="2"/>
      <scheme val="minor"/>
    </font>
    <font>
      <b/>
      <sz val="16"/>
      <color theme="9" tint="-0.499984740745262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/>
    </xf>
    <xf numFmtId="0" fontId="18" fillId="0" borderId="0" xfId="0" applyFont="1"/>
    <xf numFmtId="0" fontId="18" fillId="0" borderId="10" xfId="0" applyFont="1" applyBorder="1"/>
    <xf numFmtId="0" fontId="0" fillId="3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35" borderId="0" xfId="0" applyNumberFormat="1" applyFill="1" applyAlignment="1">
      <alignment horizontal="center"/>
    </xf>
    <xf numFmtId="164" fontId="0" fillId="0" borderId="16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37" borderId="0" xfId="0" applyFill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20" fillId="0" borderId="10" xfId="0" applyFont="1" applyBorder="1"/>
    <xf numFmtId="0" fontId="21" fillId="36" borderId="11" xfId="0" applyFont="1" applyFill="1" applyBorder="1" applyAlignment="1">
      <alignment horizontal="center"/>
    </xf>
    <xf numFmtId="0" fontId="22" fillId="34" borderId="12" xfId="0" applyFont="1" applyFill="1" applyBorder="1"/>
    <xf numFmtId="0" fontId="22" fillId="34" borderId="13" xfId="0" applyFont="1" applyFill="1" applyBorder="1"/>
    <xf numFmtId="0" fontId="22" fillId="34" borderId="14" xfId="0" applyFont="1" applyFill="1" applyBorder="1"/>
    <xf numFmtId="0" fontId="23" fillId="0" borderId="0" xfId="0" applyFont="1"/>
    <xf numFmtId="164" fontId="0" fillId="0" borderId="0" xfId="0" applyNumberFormat="1"/>
    <xf numFmtId="0" fontId="0" fillId="38" borderId="0" xfId="0" applyFill="1"/>
    <xf numFmtId="0" fontId="0" fillId="38" borderId="0" xfId="0" applyFill="1" applyAlignment="1">
      <alignment horizontal="left"/>
    </xf>
    <xf numFmtId="164" fontId="0" fillId="38" borderId="0" xfId="0" applyNumberFormat="1" applyFill="1"/>
    <xf numFmtId="0" fontId="21" fillId="34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[10_Supermarket SaleCopy.xlsx]1!PivotTable3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reflection stA="45000" endPos="1000" dist="50800" dir="5400000" sy="-100000" algn="bl" rotWithShape="0"/>
                </a:effectLst>
                <a:latin typeface="+mj-lt"/>
                <a:ea typeface="+mj-ea"/>
                <a:cs typeface="+mj-cs"/>
              </a:defRPr>
            </a:pPr>
            <a:r>
              <a:rPr lang="en-US" sz="1400" b="1" i="0" u="none" strike="noStrike" cap="none" normalizeH="0" baseline="0">
                <a:solidFill>
                  <a:schemeClr val="accent6">
                    <a:lumMod val="50000"/>
                  </a:schemeClr>
                </a:solidFill>
                <a:effectLst>
                  <a:reflection stA="45000" endPos="1000" dist="50800" dir="5400000" sy="-100000" algn="bl" rotWithShape="0"/>
                </a:effectLst>
              </a:rPr>
              <a:t>Total Revenue and Total Sales Value by City</a:t>
            </a:r>
            <a:endParaRPr lang="en-US" sz="1400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effectLst>
                <a:reflection stA="45000" endPos="1000" dist="50800" dir="5400000" sy="-100000" algn="bl" rotWithShape="0"/>
              </a:effectLst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'1'!$B$3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'1'!$A$4:$A$7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'1'!$B$4:$B$7</c:f>
              <c:numCache>
                <c:formatCode>"$"#,##0.00</c:formatCode>
                <c:ptCount val="3"/>
                <c:pt idx="0">
                  <c:v>11133.049999999997</c:v>
                </c:pt>
                <c:pt idx="1">
                  <c:v>8948.8099999999959</c:v>
                </c:pt>
                <c:pt idx="2">
                  <c:v>10964.419999999996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5-4811-9978-CBECBCEF25A6}"/>
            </c:ext>
          </c:extLst>
        </c:ser>
        <c:ser>
          <c:idx val="1"/>
          <c:order val="1"/>
          <c:tx>
            <c:strRef>
              <c:f>'1'!$C$3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'1'!$A$4:$A$7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'1'!$C$4:$C$7</c:f>
              <c:numCache>
                <c:formatCode>"$"#,##0.00</c:formatCode>
                <c:ptCount val="3"/>
                <c:pt idx="0">
                  <c:v>166484.58000000005</c:v>
                </c:pt>
                <c:pt idx="1">
                  <c:v>125424.5</c:v>
                </c:pt>
                <c:pt idx="2">
                  <c:v>148536.84999999998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5-4811-9978-CBECBCEF2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612224"/>
        <c:axId val="855612704"/>
      </c:barChart>
      <c:catAx>
        <c:axId val="85561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reflection stA="45000" endPos="1000" dist="5080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612704"/>
        <c:crosses val="autoZero"/>
        <c:auto val="1"/>
        <c:lblAlgn val="ctr"/>
        <c:lblOffset val="100"/>
        <c:noMultiLvlLbl val="0"/>
      </c:catAx>
      <c:valAx>
        <c:axId val="85561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reflection stA="45000" endPos="1000" dist="5080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61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reflection stA="45000" endPos="1000" dist="50800" dir="5400000" sy="-100000" algn="bl" rotWithShape="0"/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effectLst>
            <a:reflection stA="45000" endPos="1000" dist="50800" dir="5400000" sy="-100000" algn="bl" rotWithShape="0"/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[10_Supermarket SaleCopy.xlsx]2!PivotTable2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vi-VN" b="1">
                <a:solidFill>
                  <a:schemeClr val="accent6">
                    <a:lumMod val="50000"/>
                  </a:schemeClr>
                </a:solidFill>
              </a:rPr>
              <a:t>The </a:t>
            </a:r>
            <a:r>
              <a:rPr lang="en-US" b="1">
                <a:solidFill>
                  <a:schemeClr val="accent6">
                    <a:lumMod val="50000"/>
                  </a:schemeClr>
                </a:solidFill>
              </a:rPr>
              <a:t>S</a:t>
            </a:r>
            <a:r>
              <a:rPr lang="vi-VN" b="1">
                <a:solidFill>
                  <a:schemeClr val="accent6">
                    <a:lumMod val="50000"/>
                  </a:schemeClr>
                </a:solidFill>
              </a:rPr>
              <a:t>um of</a:t>
            </a:r>
            <a:r>
              <a:rPr lang="en-US" b="1">
                <a:solidFill>
                  <a:schemeClr val="accent6">
                    <a:lumMod val="50000"/>
                  </a:schemeClr>
                </a:solidFill>
              </a:rPr>
              <a:t> Revenue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'2'!$A$4:$A$6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'2'!$B$4:$B$6</c:f>
              <c:numCache>
                <c:formatCode>"$"#,##0.00</c:formatCode>
                <c:ptCount val="2"/>
                <c:pt idx="0">
                  <c:v>261436.25999999998</c:v>
                </c:pt>
                <c:pt idx="1">
                  <c:v>179009.66999999998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5-4FE6-BD8C-FE88AC58F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06780240"/>
        <c:axId val="806779280"/>
      </c:barChart>
      <c:catAx>
        <c:axId val="80678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79280"/>
        <c:crosses val="autoZero"/>
        <c:auto val="1"/>
        <c:lblAlgn val="ctr"/>
        <c:lblOffset val="100"/>
        <c:noMultiLvlLbl val="0"/>
      </c:catAx>
      <c:valAx>
        <c:axId val="8067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8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[10_Supermarket SaleCopy.xlsx]3!PivotTable1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The r</a:t>
            </a:r>
            <a:r>
              <a:rPr lang="en-US"/>
              <a:t>evenue </a:t>
            </a:r>
            <a:r>
              <a:rPr lang="vi-VN"/>
              <a:t>d</a:t>
            </a:r>
            <a:r>
              <a:rPr lang="en-US"/>
              <a:t>istribution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'3'!$A$4:$A$9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'3'!$B$4:$B$9</c:f>
              <c:numCache>
                <c:formatCode>"$"#,##0.00</c:formatCode>
                <c:ptCount val="5"/>
                <c:pt idx="0">
                  <c:v>6463.1699999999992</c:v>
                </c:pt>
                <c:pt idx="1">
                  <c:v>7505.079999999999</c:v>
                </c:pt>
                <c:pt idx="2">
                  <c:v>5704.9</c:v>
                </c:pt>
                <c:pt idx="3">
                  <c:v>4598.0600000000004</c:v>
                </c:pt>
                <c:pt idx="4">
                  <c:v>6255.25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E-4EED-AF85-1D2AA9BF4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2340112"/>
        <c:axId val="502340592"/>
      </c:barChart>
      <c:catAx>
        <c:axId val="50234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40592"/>
        <c:crosses val="autoZero"/>
        <c:auto val="1"/>
        <c:lblAlgn val="ctr"/>
        <c:lblOffset val="100"/>
        <c:noMultiLvlLbl val="0"/>
      </c:catAx>
      <c:valAx>
        <c:axId val="5023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4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0</xdr:row>
      <xdr:rowOff>120650</xdr:rowOff>
    </xdr:from>
    <xdr:to>
      <xdr:col>10</xdr:col>
      <xdr:colOff>463550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7AAF8-06E3-F215-FB8E-0A476F10F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0</xdr:row>
      <xdr:rowOff>133350</xdr:rowOff>
    </xdr:from>
    <xdr:to>
      <xdr:col>9</xdr:col>
      <xdr:colOff>539750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CA592A-9A40-33F8-D900-AF44118B5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3175</xdr:rowOff>
    </xdr:from>
    <xdr:to>
      <xdr:col>11</xdr:col>
      <xdr:colOff>107950</xdr:colOff>
      <xdr:row>14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51419-61D4-0DD2-C92A-7CE7DB886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h Tiu" refreshedDate="46159.812099768518" createdVersion="8" refreshedVersion="8" minRefreshableVersion="3" recordCount="250" xr:uid="{49ED2747-6D1B-47B9-AFC0-A5B64F9E1CF1}">
  <cacheSource type="worksheet">
    <worksheetSource ref="A1:J251" sheet="sales"/>
  </cacheSource>
  <cacheFields count="10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 count="3">
        <s v="New York"/>
        <s v="Los Angeles"/>
        <s v="Chicago"/>
      </sharedItems>
    </cacheField>
    <cacheField name="Customer_type" numFmtId="0">
      <sharedItems count="2">
        <s v="Member"/>
        <s v="Normal"/>
      </sharedItems>
    </cacheField>
    <cacheField name="Product_name" numFmtId="0">
      <sharedItems/>
    </cacheField>
    <cacheField name="Product_category" numFmtId="0">
      <sharedItems containsBlank="1" count="7">
        <s v="Personal Care"/>
        <s v="Stationery"/>
        <s v="Fruits"/>
        <s v="Household"/>
        <s v="Beverages"/>
        <m/>
        <s v="Unknow" u="1"/>
      </sharedItems>
    </cacheField>
    <cacheField name="Clean_category" numFmtId="0">
      <sharedItems/>
    </cacheField>
    <cacheField name="Quantity" numFmtId="1">
      <sharedItems containsSemiMixedTypes="0" containsString="0" containsNumber="1" containsInteger="1" minValue="1" maxValue="20"/>
    </cacheField>
    <cacheField name="Total_price" numFmtId="164">
      <sharedItems containsSemiMixedTypes="0" containsString="0" containsNumber="1" minValue="2.1800000000000002" maxValue="427.14"/>
    </cacheField>
    <cacheField name="Revenue" numFmtId="164">
      <sharedItems containsSemiMixedTypes="0" containsString="0" containsNumber="1" minValue="4.3600000000000003" maxValue="8542.7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s v="A"/>
    <x v="0"/>
    <x v="0"/>
    <s v="Shampoo"/>
    <x v="0"/>
    <s v="Personal Care"/>
    <n v="3"/>
    <n v="17.66"/>
    <n v="52.980000000000004"/>
  </r>
  <r>
    <n v="2"/>
    <s v="B"/>
    <x v="1"/>
    <x v="1"/>
    <s v="Notebook"/>
    <x v="1"/>
    <s v="Stationery"/>
    <n v="10"/>
    <n v="29.43"/>
    <n v="294.3"/>
  </r>
  <r>
    <n v="3"/>
    <s v="A"/>
    <x v="0"/>
    <x v="0"/>
    <s v="Apple"/>
    <x v="2"/>
    <s v="Fruits"/>
    <n v="15"/>
    <n v="19.260000000000002"/>
    <n v="288.90000000000003"/>
  </r>
  <r>
    <n v="4"/>
    <s v="A"/>
    <x v="2"/>
    <x v="1"/>
    <s v="Detergent"/>
    <x v="3"/>
    <s v="Household"/>
    <n v="5"/>
    <n v="41.73"/>
    <n v="208.64999999999998"/>
  </r>
  <r>
    <n v="5"/>
    <s v="B"/>
    <x v="1"/>
    <x v="0"/>
    <s v="Orange Juice"/>
    <x v="4"/>
    <s v="Beverages"/>
    <n v="7"/>
    <n v="26.22"/>
    <n v="183.54"/>
  </r>
  <r>
    <n v="6"/>
    <s v="A"/>
    <x v="2"/>
    <x v="1"/>
    <s v="Shampoo"/>
    <x v="1"/>
    <s v="Personal Care"/>
    <n v="9"/>
    <n v="108.24"/>
    <n v="974.16"/>
  </r>
  <r>
    <n v="7"/>
    <s v="A"/>
    <x v="2"/>
    <x v="1"/>
    <s v="Shampoo"/>
    <x v="0"/>
    <s v="Personal Care"/>
    <n v="1"/>
    <n v="11.46"/>
    <n v="11.46"/>
  </r>
  <r>
    <n v="8"/>
    <s v="B"/>
    <x v="1"/>
    <x v="1"/>
    <s v="Shampoo"/>
    <x v="3"/>
    <s v="Personal Care"/>
    <n v="9"/>
    <n v="175.55"/>
    <n v="1579.95"/>
  </r>
  <r>
    <n v="9"/>
    <s v="A"/>
    <x v="2"/>
    <x v="0"/>
    <s v="Apple"/>
    <x v="2"/>
    <s v="Fruits"/>
    <n v="20"/>
    <n v="302.81"/>
    <n v="6056.2"/>
  </r>
  <r>
    <n v="10"/>
    <s v="B"/>
    <x v="1"/>
    <x v="0"/>
    <s v="Shampoo"/>
    <x v="2"/>
    <s v="Personal Care"/>
    <n v="19"/>
    <n v="374.48"/>
    <n v="7115.1200000000008"/>
  </r>
  <r>
    <n v="11"/>
    <s v="A"/>
    <x v="2"/>
    <x v="1"/>
    <s v="Detergent"/>
    <x v="4"/>
    <s v="Household"/>
    <n v="7"/>
    <n v="69.81"/>
    <n v="488.67"/>
  </r>
  <r>
    <n v="13"/>
    <s v="A"/>
    <x v="0"/>
    <x v="1"/>
    <s v="Orange Juice"/>
    <x v="3"/>
    <s v="Beverages"/>
    <n v="4"/>
    <n v="14.08"/>
    <n v="56.32"/>
  </r>
  <r>
    <n v="12"/>
    <s v="B"/>
    <x v="1"/>
    <x v="0"/>
    <s v="Orange Juice"/>
    <x v="3"/>
    <s v="Beverages"/>
    <n v="12"/>
    <n v="88.47"/>
    <n v="1061.6399999999999"/>
  </r>
  <r>
    <n v="14"/>
    <s v="B"/>
    <x v="1"/>
    <x v="0"/>
    <s v="Apple"/>
    <x v="2"/>
    <s v="Fruits"/>
    <n v="5"/>
    <n v="47.13"/>
    <n v="235.65"/>
  </r>
  <r>
    <n v="15"/>
    <s v="B"/>
    <x v="1"/>
    <x v="1"/>
    <s v="Apple"/>
    <x v="4"/>
    <s v="Fruits"/>
    <n v="3"/>
    <n v="62.53"/>
    <n v="187.59"/>
  </r>
  <r>
    <n v="16"/>
    <s v="B"/>
    <x v="1"/>
    <x v="1"/>
    <s v="Notebook"/>
    <x v="1"/>
    <s v="Stationery"/>
    <n v="8"/>
    <n v="47.51"/>
    <n v="380.08"/>
  </r>
  <r>
    <n v="17"/>
    <s v="B"/>
    <x v="1"/>
    <x v="0"/>
    <s v="Apple"/>
    <x v="0"/>
    <s v="Fruits"/>
    <n v="2"/>
    <n v="4.5599999999999996"/>
    <n v="9.1199999999999992"/>
  </r>
  <r>
    <n v="18"/>
    <s v="B"/>
    <x v="1"/>
    <x v="1"/>
    <s v="Notebook"/>
    <x v="2"/>
    <s v="Stationery"/>
    <n v="15"/>
    <n v="212.82"/>
    <n v="3192.2999999999997"/>
  </r>
  <r>
    <n v="19"/>
    <s v="A"/>
    <x v="0"/>
    <x v="0"/>
    <s v="Apple"/>
    <x v="4"/>
    <s v="Fruits"/>
    <n v="2"/>
    <n v="41.92"/>
    <n v="83.84"/>
  </r>
  <r>
    <n v="20"/>
    <s v="A"/>
    <x v="2"/>
    <x v="1"/>
    <s v="Detergent"/>
    <x v="0"/>
    <s v="Household"/>
    <n v="11"/>
    <n v="59.75"/>
    <n v="657.25"/>
  </r>
  <r>
    <n v="21"/>
    <s v="B"/>
    <x v="1"/>
    <x v="1"/>
    <s v="Shampoo"/>
    <x v="0"/>
    <s v="Personal Care"/>
    <n v="11"/>
    <n v="51.32"/>
    <n v="564.52"/>
  </r>
  <r>
    <n v="22"/>
    <s v="B"/>
    <x v="1"/>
    <x v="1"/>
    <s v="Orange Juice"/>
    <x v="4"/>
    <s v="Beverages"/>
    <n v="1"/>
    <n v="7.28"/>
    <n v="7.28"/>
  </r>
  <r>
    <n v="23"/>
    <s v="A"/>
    <x v="0"/>
    <x v="0"/>
    <s v="Shampoo"/>
    <x v="4"/>
    <s v="Personal Care"/>
    <n v="16"/>
    <n v="33.380000000000003"/>
    <n v="534.08000000000004"/>
  </r>
  <r>
    <n v="24"/>
    <s v="A"/>
    <x v="2"/>
    <x v="1"/>
    <s v="Apple"/>
    <x v="2"/>
    <s v="Fruits"/>
    <n v="2"/>
    <n v="40.770000000000003"/>
    <n v="81.540000000000006"/>
  </r>
  <r>
    <n v="25"/>
    <s v="B"/>
    <x v="1"/>
    <x v="0"/>
    <s v="Detergent"/>
    <x v="4"/>
    <s v="Household"/>
    <n v="18"/>
    <n v="218.22"/>
    <n v="3927.96"/>
  </r>
  <r>
    <n v="26"/>
    <s v="B"/>
    <x v="1"/>
    <x v="1"/>
    <s v="Notebook"/>
    <x v="2"/>
    <s v="Stationery"/>
    <n v="16"/>
    <n v="238.65"/>
    <n v="3818.4"/>
  </r>
  <r>
    <n v="27"/>
    <s v="A"/>
    <x v="0"/>
    <x v="0"/>
    <s v="Detergent"/>
    <x v="3"/>
    <s v="Household"/>
    <n v="2"/>
    <n v="20.440000000000001"/>
    <n v="40.880000000000003"/>
  </r>
  <r>
    <n v="28"/>
    <s v="A"/>
    <x v="0"/>
    <x v="0"/>
    <s v="Detergent"/>
    <x v="0"/>
    <s v="Household"/>
    <n v="17"/>
    <n v="299.41000000000003"/>
    <n v="5089.97"/>
  </r>
  <r>
    <n v="29"/>
    <s v="B"/>
    <x v="1"/>
    <x v="0"/>
    <s v="Shampoo"/>
    <x v="1"/>
    <s v="Personal Care"/>
    <n v="17"/>
    <n v="223.74"/>
    <n v="3803.58"/>
  </r>
  <r>
    <n v="30"/>
    <s v="A"/>
    <x v="2"/>
    <x v="0"/>
    <s v="Orange Juice"/>
    <x v="5"/>
    <s v="Beverages"/>
    <n v="15"/>
    <n v="198.54"/>
    <n v="2978.1"/>
  </r>
  <r>
    <n v="31"/>
    <s v="A"/>
    <x v="2"/>
    <x v="0"/>
    <s v="Shampoo"/>
    <x v="2"/>
    <s v="Personal Care"/>
    <n v="3"/>
    <n v="11.88"/>
    <n v="35.64"/>
  </r>
  <r>
    <n v="32"/>
    <s v="A"/>
    <x v="0"/>
    <x v="0"/>
    <s v="Orange Juice"/>
    <x v="5"/>
    <s v="Beverages"/>
    <n v="3"/>
    <n v="17.3"/>
    <n v="51.900000000000006"/>
  </r>
  <r>
    <n v="33"/>
    <s v="B"/>
    <x v="1"/>
    <x v="1"/>
    <s v="Notebook"/>
    <x v="1"/>
    <s v="Stationery"/>
    <n v="17"/>
    <n v="126.24"/>
    <n v="2146.08"/>
  </r>
  <r>
    <n v="34"/>
    <s v="B"/>
    <x v="1"/>
    <x v="1"/>
    <s v="Orange Juice"/>
    <x v="3"/>
    <s v="Beverages"/>
    <n v="9"/>
    <n v="78.290000000000006"/>
    <n v="704.61"/>
  </r>
  <r>
    <n v="35"/>
    <s v="A"/>
    <x v="0"/>
    <x v="0"/>
    <s v="Apple"/>
    <x v="0"/>
    <s v="Fruits"/>
    <n v="2"/>
    <n v="28.72"/>
    <n v="57.44"/>
  </r>
  <r>
    <n v="36"/>
    <s v="A"/>
    <x v="0"/>
    <x v="0"/>
    <s v="Detergent"/>
    <x v="0"/>
    <s v="Household"/>
    <n v="15"/>
    <n v="210.9"/>
    <n v="3163.5"/>
  </r>
  <r>
    <n v="37"/>
    <s v="B"/>
    <x v="1"/>
    <x v="0"/>
    <s v="Shampoo"/>
    <x v="2"/>
    <s v="Personal Care"/>
    <n v="16"/>
    <n v="190.72"/>
    <n v="3051.52"/>
  </r>
  <r>
    <n v="38"/>
    <s v="B"/>
    <x v="1"/>
    <x v="0"/>
    <s v="Notebook"/>
    <x v="4"/>
    <s v="Stationery"/>
    <n v="14"/>
    <n v="81.19"/>
    <n v="1136.6599999999999"/>
  </r>
  <r>
    <n v="40"/>
    <s v="A"/>
    <x v="0"/>
    <x v="1"/>
    <s v="Apple"/>
    <x v="2"/>
    <s v="Fruits"/>
    <n v="11"/>
    <n v="13.77"/>
    <n v="151.47"/>
  </r>
  <r>
    <n v="39"/>
    <s v="A"/>
    <x v="0"/>
    <x v="0"/>
    <s v="Notebook"/>
    <x v="4"/>
    <s v="Stationery"/>
    <n v="15"/>
    <n v="246.21"/>
    <n v="3693.15"/>
  </r>
  <r>
    <n v="41"/>
    <s v="A"/>
    <x v="0"/>
    <x v="0"/>
    <s v="Notebook"/>
    <x v="3"/>
    <s v="Stationery"/>
    <n v="10"/>
    <n v="115.56"/>
    <n v="1155.5999999999999"/>
  </r>
  <r>
    <n v="42"/>
    <s v="A"/>
    <x v="0"/>
    <x v="1"/>
    <s v="Apple"/>
    <x v="3"/>
    <s v="Fruits"/>
    <n v="12"/>
    <n v="140.97999999999999"/>
    <n v="1691.7599999999998"/>
  </r>
  <r>
    <n v="43"/>
    <s v="A"/>
    <x v="0"/>
    <x v="1"/>
    <s v="Notebook"/>
    <x v="2"/>
    <s v="Stationery"/>
    <n v="2"/>
    <n v="8.92"/>
    <n v="17.84"/>
  </r>
  <r>
    <n v="44"/>
    <s v="A"/>
    <x v="2"/>
    <x v="0"/>
    <s v="Detergent"/>
    <x v="2"/>
    <s v="Household"/>
    <n v="11"/>
    <n v="43.08"/>
    <n v="473.88"/>
  </r>
  <r>
    <n v="45"/>
    <s v="B"/>
    <x v="1"/>
    <x v="0"/>
    <s v="Shampoo"/>
    <x v="3"/>
    <s v="Personal Care"/>
    <n v="8"/>
    <n v="134.65"/>
    <n v="1077.2"/>
  </r>
  <r>
    <n v="46"/>
    <s v="A"/>
    <x v="0"/>
    <x v="0"/>
    <s v="Shampoo"/>
    <x v="2"/>
    <s v="Personal Care"/>
    <n v="8"/>
    <n v="136.53"/>
    <n v="1092.24"/>
  </r>
  <r>
    <n v="47"/>
    <s v="A"/>
    <x v="0"/>
    <x v="1"/>
    <s v="Shampoo"/>
    <x v="1"/>
    <s v="Personal Care"/>
    <n v="8"/>
    <n v="10.96"/>
    <n v="87.68"/>
  </r>
  <r>
    <n v="48"/>
    <s v="B"/>
    <x v="1"/>
    <x v="1"/>
    <s v="Detergent"/>
    <x v="0"/>
    <s v="Household"/>
    <n v="20"/>
    <n v="213.57"/>
    <n v="4271.3999999999996"/>
  </r>
  <r>
    <n v="49"/>
    <s v="B"/>
    <x v="1"/>
    <x v="1"/>
    <s v="Detergent"/>
    <x v="5"/>
    <s v="Household"/>
    <n v="2"/>
    <n v="13.5"/>
    <n v="27"/>
  </r>
  <r>
    <n v="50"/>
    <s v="A"/>
    <x v="2"/>
    <x v="1"/>
    <s v="Apple"/>
    <x v="1"/>
    <s v="Fruits"/>
    <n v="19"/>
    <n v="335.45"/>
    <n v="6373.55"/>
  </r>
  <r>
    <n v="51"/>
    <s v="A"/>
    <x v="2"/>
    <x v="1"/>
    <s v="Detergent"/>
    <x v="1"/>
    <s v="Household"/>
    <n v="19"/>
    <n v="346.02"/>
    <n v="6574.3799999999992"/>
  </r>
  <r>
    <n v="52"/>
    <s v="A"/>
    <x v="2"/>
    <x v="0"/>
    <s v="Orange Juice"/>
    <x v="2"/>
    <s v="Beverages"/>
    <n v="5"/>
    <n v="59.71"/>
    <n v="298.55"/>
  </r>
  <r>
    <n v="53"/>
    <s v="B"/>
    <x v="1"/>
    <x v="1"/>
    <s v="Orange Juice"/>
    <x v="2"/>
    <s v="Beverages"/>
    <n v="1"/>
    <n v="20.39"/>
    <n v="20.39"/>
  </r>
  <r>
    <n v="54"/>
    <s v="A"/>
    <x v="0"/>
    <x v="1"/>
    <s v="Orange Juice"/>
    <x v="2"/>
    <s v="Beverages"/>
    <n v="14"/>
    <n v="70.11"/>
    <n v="981.54"/>
  </r>
  <r>
    <n v="55"/>
    <s v="B"/>
    <x v="1"/>
    <x v="0"/>
    <s v="Notebook"/>
    <x v="3"/>
    <s v="Stationery"/>
    <n v="13"/>
    <n v="216.58"/>
    <n v="2815.54"/>
  </r>
  <r>
    <n v="56"/>
    <s v="A"/>
    <x v="2"/>
    <x v="0"/>
    <s v="Shampoo"/>
    <x v="0"/>
    <s v="Personal Care"/>
    <n v="10"/>
    <n v="212.5"/>
    <n v="2125"/>
  </r>
  <r>
    <n v="57"/>
    <s v="A"/>
    <x v="2"/>
    <x v="0"/>
    <s v="Orange Juice"/>
    <x v="4"/>
    <s v="Beverages"/>
    <n v="19"/>
    <n v="414.94"/>
    <n v="7883.86"/>
  </r>
  <r>
    <n v="58"/>
    <s v="A"/>
    <x v="2"/>
    <x v="1"/>
    <s v="Notebook"/>
    <x v="2"/>
    <s v="Stationery"/>
    <n v="20"/>
    <n v="427.14"/>
    <n v="8542.7999999999993"/>
  </r>
  <r>
    <n v="59"/>
    <s v="A"/>
    <x v="2"/>
    <x v="0"/>
    <s v="Detergent"/>
    <x v="1"/>
    <s v="Household"/>
    <n v="20"/>
    <n v="331.27"/>
    <n v="6625.4"/>
  </r>
  <r>
    <n v="60"/>
    <s v="A"/>
    <x v="2"/>
    <x v="0"/>
    <s v="Notebook"/>
    <x v="1"/>
    <s v="Stationery"/>
    <n v="4"/>
    <n v="59.88"/>
    <n v="239.52"/>
  </r>
  <r>
    <n v="61"/>
    <s v="A"/>
    <x v="0"/>
    <x v="0"/>
    <s v="Detergent"/>
    <x v="3"/>
    <s v="Household"/>
    <n v="11"/>
    <n v="20.09"/>
    <n v="220.99"/>
  </r>
  <r>
    <n v="62"/>
    <s v="A"/>
    <x v="2"/>
    <x v="0"/>
    <s v="Orange Juice"/>
    <x v="4"/>
    <s v="Beverages"/>
    <n v="14"/>
    <n v="287.47000000000003"/>
    <n v="4024.5800000000004"/>
  </r>
  <r>
    <n v="63"/>
    <s v="A"/>
    <x v="0"/>
    <x v="0"/>
    <s v="Notebook"/>
    <x v="1"/>
    <s v="Stationery"/>
    <n v="19"/>
    <n v="258.8"/>
    <n v="4917.2"/>
  </r>
  <r>
    <n v="64"/>
    <s v="A"/>
    <x v="2"/>
    <x v="0"/>
    <s v="Detergent"/>
    <x v="3"/>
    <s v="Household"/>
    <n v="10"/>
    <n v="121.23"/>
    <n v="1212.3"/>
  </r>
  <r>
    <n v="65"/>
    <s v="A"/>
    <x v="0"/>
    <x v="1"/>
    <s v="Orange Juice"/>
    <x v="3"/>
    <s v="Beverages"/>
    <n v="12"/>
    <n v="112.74"/>
    <n v="1352.8799999999999"/>
  </r>
  <r>
    <n v="66"/>
    <s v="A"/>
    <x v="0"/>
    <x v="0"/>
    <s v="Notebook"/>
    <x v="0"/>
    <s v="Stationery"/>
    <n v="2"/>
    <n v="21.94"/>
    <n v="43.88"/>
  </r>
  <r>
    <n v="67"/>
    <s v="B"/>
    <x v="1"/>
    <x v="0"/>
    <s v="Notebook"/>
    <x v="1"/>
    <s v="Stationery"/>
    <n v="8"/>
    <n v="89.62"/>
    <n v="716.96"/>
  </r>
  <r>
    <n v="68"/>
    <s v="A"/>
    <x v="0"/>
    <x v="1"/>
    <s v="Detergent"/>
    <x v="5"/>
    <s v="Household"/>
    <n v="1"/>
    <n v="7.22"/>
    <n v="7.22"/>
  </r>
  <r>
    <n v="69"/>
    <s v="A"/>
    <x v="2"/>
    <x v="0"/>
    <s v="Apple"/>
    <x v="0"/>
    <s v="Fruits"/>
    <n v="16"/>
    <n v="20.03"/>
    <n v="320.48"/>
  </r>
  <r>
    <n v="70"/>
    <s v="B"/>
    <x v="1"/>
    <x v="1"/>
    <s v="Shampoo"/>
    <x v="1"/>
    <s v="Personal Care"/>
    <n v="14"/>
    <n v="41.49"/>
    <n v="580.86"/>
  </r>
  <r>
    <n v="71"/>
    <s v="A"/>
    <x v="2"/>
    <x v="1"/>
    <s v="Orange Juice"/>
    <x v="1"/>
    <s v="Beverages"/>
    <n v="2"/>
    <n v="27.46"/>
    <n v="54.92"/>
  </r>
  <r>
    <n v="72"/>
    <s v="A"/>
    <x v="0"/>
    <x v="1"/>
    <s v="Apple"/>
    <x v="2"/>
    <s v="Fruits"/>
    <n v="11"/>
    <n v="167.25"/>
    <n v="1839.75"/>
  </r>
  <r>
    <n v="73"/>
    <s v="A"/>
    <x v="2"/>
    <x v="1"/>
    <s v="Detergent"/>
    <x v="2"/>
    <s v="Household"/>
    <n v="20"/>
    <n v="155.58000000000001"/>
    <n v="3111.6000000000004"/>
  </r>
  <r>
    <n v="74"/>
    <s v="A"/>
    <x v="0"/>
    <x v="1"/>
    <s v="Shampoo"/>
    <x v="1"/>
    <s v="Personal Care"/>
    <n v="2"/>
    <n v="43.38"/>
    <n v="86.76"/>
  </r>
  <r>
    <n v="75"/>
    <s v="A"/>
    <x v="0"/>
    <x v="1"/>
    <s v="Orange Juice"/>
    <x v="2"/>
    <s v="Beverages"/>
    <n v="11"/>
    <n v="101.46"/>
    <n v="1116.06"/>
  </r>
  <r>
    <n v="76"/>
    <s v="A"/>
    <x v="0"/>
    <x v="1"/>
    <s v="Shampoo"/>
    <x v="0"/>
    <s v="Personal Care"/>
    <n v="8"/>
    <n v="163.84"/>
    <n v="1310.72"/>
  </r>
  <r>
    <n v="77"/>
    <s v="B"/>
    <x v="1"/>
    <x v="1"/>
    <s v="Orange Juice"/>
    <x v="1"/>
    <s v="Beverages"/>
    <n v="10"/>
    <n v="108.71"/>
    <n v="1087.0999999999999"/>
  </r>
  <r>
    <n v="78"/>
    <s v="A"/>
    <x v="2"/>
    <x v="1"/>
    <s v="Apple"/>
    <x v="4"/>
    <s v="Fruits"/>
    <n v="20"/>
    <n v="144.02000000000001"/>
    <n v="2880.4"/>
  </r>
  <r>
    <n v="79"/>
    <s v="B"/>
    <x v="1"/>
    <x v="1"/>
    <s v="Notebook"/>
    <x v="4"/>
    <s v="Stationery"/>
    <n v="11"/>
    <n v="166.9"/>
    <n v="1835.9"/>
  </r>
  <r>
    <n v="80"/>
    <s v="A"/>
    <x v="0"/>
    <x v="0"/>
    <s v="Notebook"/>
    <x v="1"/>
    <s v="Stationery"/>
    <n v="16"/>
    <n v="284.19"/>
    <n v="4547.04"/>
  </r>
  <r>
    <n v="81"/>
    <s v="A"/>
    <x v="2"/>
    <x v="1"/>
    <s v="Orange Juice"/>
    <x v="3"/>
    <s v="Beverages"/>
    <n v="20"/>
    <n v="285.89999999999998"/>
    <n v="5718"/>
  </r>
  <r>
    <n v="82"/>
    <s v="A"/>
    <x v="2"/>
    <x v="0"/>
    <s v="Orange Juice"/>
    <x v="2"/>
    <s v="Beverages"/>
    <n v="15"/>
    <n v="225.34"/>
    <n v="3380.1"/>
  </r>
  <r>
    <n v="83"/>
    <s v="B"/>
    <x v="1"/>
    <x v="1"/>
    <s v="Orange Juice"/>
    <x v="3"/>
    <s v="Beverages"/>
    <n v="8"/>
    <n v="118.9"/>
    <n v="951.2"/>
  </r>
  <r>
    <n v="84"/>
    <s v="A"/>
    <x v="0"/>
    <x v="0"/>
    <s v="Notebook"/>
    <x v="4"/>
    <s v="Stationery"/>
    <n v="10"/>
    <n v="187.89"/>
    <n v="1878.8999999999999"/>
  </r>
  <r>
    <n v="85"/>
    <s v="A"/>
    <x v="2"/>
    <x v="1"/>
    <s v="Detergent"/>
    <x v="3"/>
    <s v="Household"/>
    <n v="13"/>
    <n v="52.72"/>
    <n v="685.36"/>
  </r>
  <r>
    <n v="86"/>
    <s v="B"/>
    <x v="1"/>
    <x v="1"/>
    <s v="Orange Juice"/>
    <x v="4"/>
    <s v="Beverages"/>
    <n v="10"/>
    <n v="53.5"/>
    <n v="535"/>
  </r>
  <r>
    <n v="87"/>
    <s v="A"/>
    <x v="2"/>
    <x v="0"/>
    <s v="Shampoo"/>
    <x v="5"/>
    <s v="Personal Care"/>
    <n v="2"/>
    <n v="5.86"/>
    <n v="11.72"/>
  </r>
  <r>
    <n v="88"/>
    <s v="A"/>
    <x v="0"/>
    <x v="1"/>
    <s v="Orange Juice"/>
    <x v="1"/>
    <s v="Beverages"/>
    <n v="8"/>
    <n v="118.73"/>
    <n v="949.84"/>
  </r>
  <r>
    <n v="89"/>
    <s v="A"/>
    <x v="2"/>
    <x v="1"/>
    <s v="Detergent"/>
    <x v="4"/>
    <s v="Household"/>
    <n v="2"/>
    <n v="41.97"/>
    <n v="83.94"/>
  </r>
  <r>
    <n v="90"/>
    <s v="B"/>
    <x v="1"/>
    <x v="1"/>
    <s v="Notebook"/>
    <x v="3"/>
    <s v="Stationery"/>
    <n v="10"/>
    <n v="114.6"/>
    <n v="1146"/>
  </r>
  <r>
    <n v="91"/>
    <s v="A"/>
    <x v="2"/>
    <x v="0"/>
    <s v="Orange Juice"/>
    <x v="3"/>
    <s v="Beverages"/>
    <n v="3"/>
    <n v="59.61"/>
    <n v="178.82999999999998"/>
  </r>
  <r>
    <n v="92"/>
    <s v="B"/>
    <x v="1"/>
    <x v="0"/>
    <s v="Notebook"/>
    <x v="0"/>
    <s v="Stationery"/>
    <n v="2"/>
    <n v="40.869999999999997"/>
    <n v="81.739999999999995"/>
  </r>
  <r>
    <n v="93"/>
    <s v="A"/>
    <x v="0"/>
    <x v="0"/>
    <s v="Apple"/>
    <x v="1"/>
    <s v="Fruits"/>
    <n v="12"/>
    <n v="128.79"/>
    <n v="1545.48"/>
  </r>
  <r>
    <n v="94"/>
    <s v="B"/>
    <x v="1"/>
    <x v="0"/>
    <s v="Orange Juice"/>
    <x v="2"/>
    <s v="Beverages"/>
    <n v="9"/>
    <n v="54.41"/>
    <n v="489.68999999999994"/>
  </r>
  <r>
    <n v="95"/>
    <s v="B"/>
    <x v="1"/>
    <x v="1"/>
    <s v="Shampoo"/>
    <x v="1"/>
    <s v="Personal Care"/>
    <n v="9"/>
    <n v="173.73"/>
    <n v="1563.57"/>
  </r>
  <r>
    <n v="96"/>
    <s v="A"/>
    <x v="0"/>
    <x v="0"/>
    <s v="Apple"/>
    <x v="4"/>
    <s v="Fruits"/>
    <n v="1"/>
    <n v="7.38"/>
    <n v="7.38"/>
  </r>
  <r>
    <n v="97"/>
    <s v="B"/>
    <x v="1"/>
    <x v="0"/>
    <s v="Orange Juice"/>
    <x v="4"/>
    <s v="Beverages"/>
    <n v="17"/>
    <n v="341.61"/>
    <n v="5807.37"/>
  </r>
  <r>
    <n v="98"/>
    <s v="B"/>
    <x v="1"/>
    <x v="1"/>
    <s v="Notebook"/>
    <x v="0"/>
    <s v="Stationery"/>
    <n v="3"/>
    <n v="49.92"/>
    <n v="149.76"/>
  </r>
  <r>
    <n v="99"/>
    <s v="A"/>
    <x v="0"/>
    <x v="1"/>
    <s v="Detergent"/>
    <x v="5"/>
    <s v="Household"/>
    <n v="17"/>
    <n v="277.39999999999998"/>
    <n v="4715.7999999999993"/>
  </r>
  <r>
    <n v="100"/>
    <s v="A"/>
    <x v="2"/>
    <x v="0"/>
    <s v="Notebook"/>
    <x v="4"/>
    <s v="Stationery"/>
    <n v="18"/>
    <n v="204.54"/>
    <n v="3681.72"/>
  </r>
  <r>
    <n v="101"/>
    <s v="B"/>
    <x v="1"/>
    <x v="0"/>
    <s v="Orange Juice"/>
    <x v="3"/>
    <s v="Beverages"/>
    <n v="20"/>
    <n v="90.74"/>
    <n v="1814.8"/>
  </r>
  <r>
    <n v="102"/>
    <s v="A"/>
    <x v="0"/>
    <x v="1"/>
    <s v="Notebook"/>
    <x v="4"/>
    <s v="Stationery"/>
    <n v="4"/>
    <n v="71.430000000000007"/>
    <n v="285.72000000000003"/>
  </r>
  <r>
    <n v="103"/>
    <s v="A"/>
    <x v="0"/>
    <x v="1"/>
    <s v="Orange Juice"/>
    <x v="0"/>
    <s v="Beverages"/>
    <n v="9"/>
    <n v="85.61"/>
    <n v="770.49"/>
  </r>
  <r>
    <n v="104"/>
    <s v="A"/>
    <x v="0"/>
    <x v="1"/>
    <s v="Shampoo"/>
    <x v="4"/>
    <s v="Personal Care"/>
    <n v="18"/>
    <n v="351.3"/>
    <n v="6323.4000000000005"/>
  </r>
  <r>
    <n v="105"/>
    <s v="B"/>
    <x v="1"/>
    <x v="0"/>
    <s v="Orange Juice"/>
    <x v="4"/>
    <s v="Beverages"/>
    <n v="18"/>
    <n v="119.99"/>
    <n v="2159.8199999999997"/>
  </r>
  <r>
    <n v="106"/>
    <s v="A"/>
    <x v="2"/>
    <x v="1"/>
    <s v="Apple"/>
    <x v="3"/>
    <s v="Fruits"/>
    <n v="2"/>
    <n v="2.1800000000000002"/>
    <n v="4.3600000000000003"/>
  </r>
  <r>
    <n v="107"/>
    <s v="A"/>
    <x v="0"/>
    <x v="0"/>
    <s v="Detergent"/>
    <x v="0"/>
    <s v="Household"/>
    <n v="6"/>
    <n v="28.89"/>
    <n v="173.34"/>
  </r>
  <r>
    <n v="108"/>
    <s v="B"/>
    <x v="1"/>
    <x v="1"/>
    <s v="Detergent"/>
    <x v="1"/>
    <s v="Household"/>
    <n v="15"/>
    <n v="117.33"/>
    <n v="1759.95"/>
  </r>
  <r>
    <n v="109"/>
    <s v="B"/>
    <x v="1"/>
    <x v="1"/>
    <s v="Orange Juice"/>
    <x v="2"/>
    <s v="Beverages"/>
    <n v="9"/>
    <n v="162.75"/>
    <n v="1464.75"/>
  </r>
  <r>
    <n v="110"/>
    <s v="A"/>
    <x v="0"/>
    <x v="0"/>
    <s v="Detergent"/>
    <x v="4"/>
    <s v="Household"/>
    <n v="13"/>
    <n v="82.21"/>
    <n v="1068.73"/>
  </r>
  <r>
    <n v="111"/>
    <s v="A"/>
    <x v="2"/>
    <x v="0"/>
    <s v="Apple"/>
    <x v="3"/>
    <s v="Fruits"/>
    <n v="9"/>
    <n v="144.16"/>
    <n v="1297.44"/>
  </r>
  <r>
    <n v="112"/>
    <s v="A"/>
    <x v="0"/>
    <x v="0"/>
    <s v="Apple"/>
    <x v="4"/>
    <s v="Fruits"/>
    <n v="9"/>
    <n v="96.69"/>
    <n v="870.21"/>
  </r>
  <r>
    <n v="113"/>
    <s v="A"/>
    <x v="2"/>
    <x v="0"/>
    <s v="Apple"/>
    <x v="4"/>
    <s v="Fruits"/>
    <n v="3"/>
    <n v="67.06"/>
    <n v="201.18"/>
  </r>
  <r>
    <n v="114"/>
    <s v="A"/>
    <x v="2"/>
    <x v="0"/>
    <s v="Detergent"/>
    <x v="2"/>
    <s v="Household"/>
    <n v="15"/>
    <n v="150.55000000000001"/>
    <n v="2258.25"/>
  </r>
  <r>
    <n v="115"/>
    <s v="A"/>
    <x v="0"/>
    <x v="1"/>
    <s v="Orange Juice"/>
    <x v="0"/>
    <s v="Beverages"/>
    <n v="11"/>
    <n v="56.14"/>
    <n v="617.54"/>
  </r>
  <r>
    <n v="116"/>
    <s v="A"/>
    <x v="0"/>
    <x v="1"/>
    <s v="Apple"/>
    <x v="0"/>
    <s v="Fruits"/>
    <n v="19"/>
    <n v="142.51"/>
    <n v="2707.6899999999996"/>
  </r>
  <r>
    <n v="117"/>
    <s v="A"/>
    <x v="2"/>
    <x v="0"/>
    <s v="Shampoo"/>
    <x v="1"/>
    <s v="Personal Care"/>
    <n v="18"/>
    <n v="243.64"/>
    <n v="4385.5199999999995"/>
  </r>
  <r>
    <n v="118"/>
    <s v="B"/>
    <x v="1"/>
    <x v="0"/>
    <s v="Detergent"/>
    <x v="2"/>
    <s v="Household"/>
    <n v="16"/>
    <n v="92.79"/>
    <n v="1484.64"/>
  </r>
  <r>
    <n v="119"/>
    <s v="A"/>
    <x v="2"/>
    <x v="1"/>
    <s v="Apple"/>
    <x v="1"/>
    <s v="Fruits"/>
    <n v="7"/>
    <n v="131.9"/>
    <n v="923.30000000000007"/>
  </r>
  <r>
    <n v="120"/>
    <s v="A"/>
    <x v="0"/>
    <x v="1"/>
    <s v="Orange Juice"/>
    <x v="4"/>
    <s v="Beverages"/>
    <n v="9"/>
    <n v="44.68"/>
    <n v="402.12"/>
  </r>
  <r>
    <n v="121"/>
    <s v="B"/>
    <x v="1"/>
    <x v="0"/>
    <s v="Notebook"/>
    <x v="0"/>
    <s v="Stationery"/>
    <n v="4"/>
    <n v="7.19"/>
    <n v="28.76"/>
  </r>
  <r>
    <n v="122"/>
    <s v="A"/>
    <x v="0"/>
    <x v="1"/>
    <s v="Detergent"/>
    <x v="3"/>
    <s v="Household"/>
    <n v="12"/>
    <n v="41.09"/>
    <n v="493.08000000000004"/>
  </r>
  <r>
    <n v="123"/>
    <s v="A"/>
    <x v="2"/>
    <x v="1"/>
    <s v="Shampoo"/>
    <x v="0"/>
    <s v="Personal Care"/>
    <n v="11"/>
    <n v="39.19"/>
    <n v="431.09"/>
  </r>
  <r>
    <n v="124"/>
    <s v="A"/>
    <x v="0"/>
    <x v="0"/>
    <s v="Detergent"/>
    <x v="3"/>
    <s v="Household"/>
    <n v="4"/>
    <n v="63.81"/>
    <n v="255.24"/>
  </r>
  <r>
    <n v="125"/>
    <s v="A"/>
    <x v="0"/>
    <x v="0"/>
    <s v="Shampoo"/>
    <x v="3"/>
    <s v="Personal Care"/>
    <n v="6"/>
    <n v="43.91"/>
    <n v="263.45999999999998"/>
  </r>
  <r>
    <n v="126"/>
    <s v="A"/>
    <x v="0"/>
    <x v="0"/>
    <s v="Detergent"/>
    <x v="2"/>
    <s v="Household"/>
    <n v="10"/>
    <n v="217.96"/>
    <n v="2179.6"/>
  </r>
  <r>
    <n v="127"/>
    <s v="A"/>
    <x v="0"/>
    <x v="1"/>
    <s v="Apple"/>
    <x v="4"/>
    <s v="Fruits"/>
    <n v="10"/>
    <n v="11.66"/>
    <n v="116.6"/>
  </r>
  <r>
    <n v="128"/>
    <s v="A"/>
    <x v="2"/>
    <x v="0"/>
    <s v="Notebook"/>
    <x v="2"/>
    <s v="Stationery"/>
    <n v="5"/>
    <n v="14.87"/>
    <n v="74.349999999999994"/>
  </r>
  <r>
    <n v="129"/>
    <s v="A"/>
    <x v="2"/>
    <x v="0"/>
    <s v="Shampoo"/>
    <x v="4"/>
    <s v="Personal Care"/>
    <n v="4"/>
    <n v="66.430000000000007"/>
    <n v="265.72000000000003"/>
  </r>
  <r>
    <n v="130"/>
    <s v="B"/>
    <x v="1"/>
    <x v="0"/>
    <s v="Shampoo"/>
    <x v="3"/>
    <s v="Personal Care"/>
    <n v="16"/>
    <n v="225.64"/>
    <n v="3610.24"/>
  </r>
  <r>
    <n v="131"/>
    <s v="A"/>
    <x v="0"/>
    <x v="1"/>
    <s v="Shampoo"/>
    <x v="0"/>
    <s v="Personal Care"/>
    <n v="19"/>
    <n v="125.44"/>
    <n v="2383.36"/>
  </r>
  <r>
    <n v="132"/>
    <s v="A"/>
    <x v="2"/>
    <x v="1"/>
    <s v="Orange Juice"/>
    <x v="3"/>
    <s v="Beverages"/>
    <n v="17"/>
    <n v="218.46"/>
    <n v="3713.82"/>
  </r>
  <r>
    <n v="133"/>
    <s v="A"/>
    <x v="2"/>
    <x v="1"/>
    <s v="Apple"/>
    <x v="2"/>
    <s v="Fruits"/>
    <n v="14"/>
    <n v="258.41000000000003"/>
    <n v="3617.7400000000002"/>
  </r>
  <r>
    <n v="134"/>
    <s v="A"/>
    <x v="0"/>
    <x v="0"/>
    <s v="Apple"/>
    <x v="4"/>
    <s v="Fruits"/>
    <n v="11"/>
    <n v="203.03"/>
    <n v="2233.33"/>
  </r>
  <r>
    <n v="135"/>
    <s v="A"/>
    <x v="0"/>
    <x v="0"/>
    <s v="Notebook"/>
    <x v="4"/>
    <s v="Stationery"/>
    <n v="19"/>
    <n v="418.39"/>
    <n v="7949.41"/>
  </r>
  <r>
    <n v="136"/>
    <s v="B"/>
    <x v="1"/>
    <x v="1"/>
    <s v="Apple"/>
    <x v="4"/>
    <s v="Fruits"/>
    <n v="1"/>
    <n v="5.25"/>
    <n v="5.25"/>
  </r>
  <r>
    <n v="137"/>
    <s v="B"/>
    <x v="1"/>
    <x v="0"/>
    <s v="Apple"/>
    <x v="3"/>
    <s v="Fruits"/>
    <n v="2"/>
    <n v="38.630000000000003"/>
    <n v="77.260000000000005"/>
  </r>
  <r>
    <n v="138"/>
    <s v="B"/>
    <x v="1"/>
    <x v="0"/>
    <s v="Notebook"/>
    <x v="3"/>
    <s v="Stationery"/>
    <n v="18"/>
    <n v="89.75"/>
    <n v="1615.5"/>
  </r>
  <r>
    <n v="139"/>
    <s v="A"/>
    <x v="2"/>
    <x v="0"/>
    <s v="Shampoo"/>
    <x v="2"/>
    <s v="Personal Care"/>
    <n v="14"/>
    <n v="73.25"/>
    <n v="1025.5"/>
  </r>
  <r>
    <n v="140"/>
    <s v="B"/>
    <x v="1"/>
    <x v="0"/>
    <s v="Orange Juice"/>
    <x v="0"/>
    <s v="Beverages"/>
    <n v="13"/>
    <n v="135.07"/>
    <n v="1755.9099999999999"/>
  </r>
  <r>
    <n v="141"/>
    <s v="A"/>
    <x v="2"/>
    <x v="1"/>
    <s v="Notebook"/>
    <x v="2"/>
    <s v="Stationery"/>
    <n v="6"/>
    <n v="22.08"/>
    <n v="132.47999999999999"/>
  </r>
  <r>
    <n v="142"/>
    <s v="A"/>
    <x v="0"/>
    <x v="0"/>
    <s v="Notebook"/>
    <x v="3"/>
    <s v="Stationery"/>
    <n v="7"/>
    <n v="109.2"/>
    <n v="764.4"/>
  </r>
  <r>
    <n v="143"/>
    <s v="A"/>
    <x v="0"/>
    <x v="0"/>
    <s v="Shampoo"/>
    <x v="0"/>
    <s v="Personal Care"/>
    <n v="7"/>
    <n v="125.01"/>
    <n v="875.07"/>
  </r>
  <r>
    <n v="144"/>
    <s v="A"/>
    <x v="2"/>
    <x v="0"/>
    <s v="Shampoo"/>
    <x v="4"/>
    <s v="Personal Care"/>
    <n v="16"/>
    <n v="166.41"/>
    <n v="2662.56"/>
  </r>
  <r>
    <n v="145"/>
    <s v="B"/>
    <x v="1"/>
    <x v="1"/>
    <s v="Shampoo"/>
    <x v="2"/>
    <s v="Personal Care"/>
    <n v="2"/>
    <n v="34.15"/>
    <n v="68.3"/>
  </r>
  <r>
    <n v="146"/>
    <s v="A"/>
    <x v="0"/>
    <x v="0"/>
    <s v="Apple"/>
    <x v="1"/>
    <s v="Fruits"/>
    <n v="20"/>
    <n v="244.39"/>
    <n v="4887.7999999999993"/>
  </r>
  <r>
    <n v="147"/>
    <s v="A"/>
    <x v="0"/>
    <x v="1"/>
    <s v="Notebook"/>
    <x v="4"/>
    <s v="Stationery"/>
    <n v="12"/>
    <n v="64.33"/>
    <n v="771.96"/>
  </r>
  <r>
    <n v="148"/>
    <s v="A"/>
    <x v="2"/>
    <x v="0"/>
    <s v="Notebook"/>
    <x v="3"/>
    <s v="Stationery"/>
    <n v="9"/>
    <n v="21.86"/>
    <n v="196.74"/>
  </r>
  <r>
    <n v="149"/>
    <s v="A"/>
    <x v="0"/>
    <x v="0"/>
    <s v="Shampoo"/>
    <x v="0"/>
    <s v="Personal Care"/>
    <n v="19"/>
    <n v="265.70999999999998"/>
    <n v="5048.49"/>
  </r>
  <r>
    <n v="150"/>
    <s v="A"/>
    <x v="0"/>
    <x v="1"/>
    <s v="Notebook"/>
    <x v="4"/>
    <s v="Stationery"/>
    <n v="14"/>
    <n v="87.33"/>
    <n v="1222.6199999999999"/>
  </r>
  <r>
    <n v="151"/>
    <s v="A"/>
    <x v="2"/>
    <x v="1"/>
    <s v="Shampoo"/>
    <x v="3"/>
    <s v="Personal Care"/>
    <n v="14"/>
    <n v="300.5"/>
    <n v="4207"/>
  </r>
  <r>
    <n v="152"/>
    <s v="A"/>
    <x v="2"/>
    <x v="1"/>
    <s v="Orange Juice"/>
    <x v="3"/>
    <s v="Beverages"/>
    <n v="10"/>
    <n v="212.82"/>
    <n v="2128.1999999999998"/>
  </r>
  <r>
    <n v="153"/>
    <s v="A"/>
    <x v="2"/>
    <x v="1"/>
    <s v="Notebook"/>
    <x v="0"/>
    <s v="Stationery"/>
    <n v="19"/>
    <n v="113.03"/>
    <n v="2147.5700000000002"/>
  </r>
  <r>
    <n v="154"/>
    <s v="B"/>
    <x v="1"/>
    <x v="1"/>
    <s v="Detergent"/>
    <x v="1"/>
    <s v="Household"/>
    <n v="1"/>
    <n v="18.41"/>
    <n v="18.41"/>
  </r>
  <r>
    <n v="155"/>
    <s v="A"/>
    <x v="2"/>
    <x v="0"/>
    <s v="Apple"/>
    <x v="1"/>
    <s v="Fruits"/>
    <n v="11"/>
    <n v="133.94"/>
    <n v="1473.34"/>
  </r>
  <r>
    <n v="156"/>
    <s v="A"/>
    <x v="2"/>
    <x v="0"/>
    <s v="Orange Juice"/>
    <x v="1"/>
    <s v="Beverages"/>
    <n v="20"/>
    <n v="114.06"/>
    <n v="2281.1999999999998"/>
  </r>
  <r>
    <n v="157"/>
    <s v="A"/>
    <x v="0"/>
    <x v="1"/>
    <s v="Shampoo"/>
    <x v="4"/>
    <s v="Personal Care"/>
    <n v="20"/>
    <n v="402.11"/>
    <n v="8042.2000000000007"/>
  </r>
  <r>
    <n v="158"/>
    <s v="A"/>
    <x v="0"/>
    <x v="1"/>
    <s v="Shampoo"/>
    <x v="2"/>
    <s v="Personal Care"/>
    <n v="1"/>
    <n v="20.37"/>
    <n v="20.37"/>
  </r>
  <r>
    <n v="159"/>
    <s v="A"/>
    <x v="0"/>
    <x v="1"/>
    <s v="Notebook"/>
    <x v="3"/>
    <s v="Stationery"/>
    <n v="11"/>
    <n v="233.28"/>
    <n v="2566.08"/>
  </r>
  <r>
    <n v="160"/>
    <s v="A"/>
    <x v="2"/>
    <x v="0"/>
    <s v="Orange Juice"/>
    <x v="3"/>
    <s v="Beverages"/>
    <n v="2"/>
    <n v="19.920000000000002"/>
    <n v="39.840000000000003"/>
  </r>
  <r>
    <n v="161"/>
    <s v="A"/>
    <x v="2"/>
    <x v="0"/>
    <s v="Orange Juice"/>
    <x v="1"/>
    <s v="Beverages"/>
    <n v="19"/>
    <n v="425.1"/>
    <n v="8076.9000000000005"/>
  </r>
  <r>
    <n v="162"/>
    <s v="A"/>
    <x v="0"/>
    <x v="0"/>
    <s v="Shampoo"/>
    <x v="2"/>
    <s v="Personal Care"/>
    <n v="4"/>
    <n v="64.459999999999994"/>
    <n v="257.83999999999997"/>
  </r>
  <r>
    <n v="163"/>
    <s v="B"/>
    <x v="1"/>
    <x v="1"/>
    <s v="Orange Juice"/>
    <x v="2"/>
    <s v="Beverages"/>
    <n v="11"/>
    <n v="207.27"/>
    <n v="2279.9700000000003"/>
  </r>
  <r>
    <n v="164"/>
    <s v="B"/>
    <x v="1"/>
    <x v="1"/>
    <s v="Notebook"/>
    <x v="0"/>
    <s v="Stationery"/>
    <n v="8"/>
    <n v="177.71"/>
    <n v="1421.68"/>
  </r>
  <r>
    <n v="165"/>
    <s v="A"/>
    <x v="2"/>
    <x v="0"/>
    <s v="Detergent"/>
    <x v="1"/>
    <s v="Household"/>
    <n v="18"/>
    <n v="229.58"/>
    <n v="4132.4400000000005"/>
  </r>
  <r>
    <n v="166"/>
    <s v="B"/>
    <x v="1"/>
    <x v="1"/>
    <s v="Detergent"/>
    <x v="0"/>
    <s v="Household"/>
    <n v="18"/>
    <n v="272.91000000000003"/>
    <n v="4912.38"/>
  </r>
  <r>
    <n v="167"/>
    <s v="B"/>
    <x v="1"/>
    <x v="1"/>
    <s v="Apple"/>
    <x v="1"/>
    <s v="Fruits"/>
    <n v="10"/>
    <n v="70.19"/>
    <n v="701.9"/>
  </r>
  <r>
    <n v="168"/>
    <s v="A"/>
    <x v="2"/>
    <x v="0"/>
    <s v="Detergent"/>
    <x v="4"/>
    <s v="Household"/>
    <n v="12"/>
    <n v="123.65"/>
    <n v="1483.8000000000002"/>
  </r>
  <r>
    <n v="169"/>
    <s v="A"/>
    <x v="0"/>
    <x v="0"/>
    <s v="Orange Juice"/>
    <x v="3"/>
    <s v="Beverages"/>
    <n v="4"/>
    <n v="77"/>
    <n v="308"/>
  </r>
  <r>
    <n v="170"/>
    <s v="B"/>
    <x v="1"/>
    <x v="1"/>
    <s v="Detergent"/>
    <x v="2"/>
    <s v="Household"/>
    <n v="12"/>
    <n v="68.819999999999993"/>
    <n v="825.83999999999992"/>
  </r>
  <r>
    <n v="171"/>
    <s v="A"/>
    <x v="0"/>
    <x v="0"/>
    <s v="Orange Juice"/>
    <x v="2"/>
    <s v="Beverages"/>
    <n v="5"/>
    <n v="61.69"/>
    <n v="308.45"/>
  </r>
  <r>
    <n v="172"/>
    <s v="B"/>
    <x v="1"/>
    <x v="1"/>
    <s v="Shampoo"/>
    <x v="2"/>
    <s v="Personal Care"/>
    <n v="15"/>
    <n v="237.86"/>
    <n v="3567.9"/>
  </r>
  <r>
    <n v="173"/>
    <s v="A"/>
    <x v="0"/>
    <x v="0"/>
    <s v="Apple"/>
    <x v="2"/>
    <s v="Fruits"/>
    <n v="20"/>
    <n v="317.36"/>
    <n v="6347.2000000000007"/>
  </r>
  <r>
    <n v="174"/>
    <s v="B"/>
    <x v="1"/>
    <x v="0"/>
    <s v="Shampoo"/>
    <x v="1"/>
    <s v="Personal Care"/>
    <n v="3"/>
    <n v="16.34"/>
    <n v="49.019999999999996"/>
  </r>
  <r>
    <n v="175"/>
    <s v="A"/>
    <x v="0"/>
    <x v="1"/>
    <s v="Detergent"/>
    <x v="3"/>
    <s v="Household"/>
    <n v="15"/>
    <n v="277.99"/>
    <n v="4169.8500000000004"/>
  </r>
  <r>
    <n v="176"/>
    <s v="B"/>
    <x v="1"/>
    <x v="0"/>
    <s v="Shampoo"/>
    <x v="2"/>
    <s v="Personal Care"/>
    <n v="1"/>
    <n v="15.31"/>
    <n v="15.31"/>
  </r>
  <r>
    <n v="177"/>
    <s v="B"/>
    <x v="1"/>
    <x v="0"/>
    <s v="Orange Juice"/>
    <x v="2"/>
    <s v="Beverages"/>
    <n v="10"/>
    <n v="12.95"/>
    <n v="129.5"/>
  </r>
  <r>
    <n v="178"/>
    <s v="A"/>
    <x v="2"/>
    <x v="0"/>
    <s v="Notebook"/>
    <x v="0"/>
    <s v="Stationery"/>
    <n v="10"/>
    <n v="126.8"/>
    <n v="1268"/>
  </r>
  <r>
    <n v="179"/>
    <s v="A"/>
    <x v="0"/>
    <x v="0"/>
    <s v="Notebook"/>
    <x v="2"/>
    <s v="Stationery"/>
    <n v="3"/>
    <n v="14.77"/>
    <n v="44.31"/>
  </r>
  <r>
    <n v="180"/>
    <s v="B"/>
    <x v="1"/>
    <x v="0"/>
    <s v="Orange Juice"/>
    <x v="3"/>
    <s v="Beverages"/>
    <n v="4"/>
    <n v="29.02"/>
    <n v="116.08"/>
  </r>
  <r>
    <n v="181"/>
    <s v="B"/>
    <x v="1"/>
    <x v="0"/>
    <s v="Notebook"/>
    <x v="2"/>
    <s v="Stationery"/>
    <n v="17"/>
    <n v="275.20999999999998"/>
    <n v="4678.57"/>
  </r>
  <r>
    <n v="182"/>
    <s v="A"/>
    <x v="0"/>
    <x v="1"/>
    <s v="Detergent"/>
    <x v="1"/>
    <s v="Household"/>
    <n v="8"/>
    <n v="26.88"/>
    <n v="215.04"/>
  </r>
  <r>
    <n v="183"/>
    <s v="A"/>
    <x v="2"/>
    <x v="1"/>
    <s v="Notebook"/>
    <x v="1"/>
    <s v="Stationery"/>
    <n v="15"/>
    <n v="70.14"/>
    <n v="1052.0999999999999"/>
  </r>
  <r>
    <n v="184"/>
    <s v="A"/>
    <x v="0"/>
    <x v="0"/>
    <s v="Shampoo"/>
    <x v="2"/>
    <s v="Personal Care"/>
    <n v="14"/>
    <n v="280.13"/>
    <n v="3921.8199999999997"/>
  </r>
  <r>
    <n v="185"/>
    <s v="A"/>
    <x v="2"/>
    <x v="0"/>
    <s v="Notebook"/>
    <x v="4"/>
    <s v="Stationery"/>
    <n v="16"/>
    <n v="327.33"/>
    <n v="5237.28"/>
  </r>
  <r>
    <n v="186"/>
    <s v="B"/>
    <x v="1"/>
    <x v="0"/>
    <s v="Notebook"/>
    <x v="4"/>
    <s v="Stationery"/>
    <n v="3"/>
    <n v="38.49"/>
    <n v="115.47"/>
  </r>
  <r>
    <n v="187"/>
    <s v="A"/>
    <x v="0"/>
    <x v="0"/>
    <s v="Notebook"/>
    <x v="2"/>
    <s v="Stationery"/>
    <n v="15"/>
    <n v="156.01"/>
    <n v="2340.1499999999996"/>
  </r>
  <r>
    <n v="188"/>
    <s v="A"/>
    <x v="2"/>
    <x v="1"/>
    <s v="Notebook"/>
    <x v="3"/>
    <s v="Stationery"/>
    <n v="5"/>
    <n v="30.6"/>
    <n v="153"/>
  </r>
  <r>
    <n v="189"/>
    <s v="A"/>
    <x v="2"/>
    <x v="0"/>
    <s v="Shampoo"/>
    <x v="3"/>
    <s v="Personal Care"/>
    <n v="3"/>
    <n v="47.73"/>
    <n v="143.19"/>
  </r>
  <r>
    <n v="190"/>
    <s v="B"/>
    <x v="1"/>
    <x v="0"/>
    <s v="Shampoo"/>
    <x v="2"/>
    <s v="Personal Care"/>
    <n v="11"/>
    <n v="113.7"/>
    <n v="1250.7"/>
  </r>
  <r>
    <n v="191"/>
    <s v="A"/>
    <x v="0"/>
    <x v="0"/>
    <s v="Orange Juice"/>
    <x v="1"/>
    <s v="Beverages"/>
    <n v="13"/>
    <n v="49.66"/>
    <n v="645.57999999999993"/>
  </r>
  <r>
    <n v="192"/>
    <s v="A"/>
    <x v="0"/>
    <x v="0"/>
    <s v="Detergent"/>
    <x v="1"/>
    <s v="Household"/>
    <n v="10"/>
    <n v="58.85"/>
    <n v="588.5"/>
  </r>
  <r>
    <n v="193"/>
    <s v="B"/>
    <x v="1"/>
    <x v="1"/>
    <s v="Apple"/>
    <x v="3"/>
    <s v="Fruits"/>
    <n v="3"/>
    <n v="7.86"/>
    <n v="23.580000000000002"/>
  </r>
  <r>
    <n v="194"/>
    <s v="A"/>
    <x v="2"/>
    <x v="0"/>
    <s v="Shampoo"/>
    <x v="4"/>
    <s v="Personal Care"/>
    <n v="4"/>
    <n v="40.96"/>
    <n v="163.84"/>
  </r>
  <r>
    <n v="195"/>
    <s v="B"/>
    <x v="1"/>
    <x v="0"/>
    <s v="Notebook"/>
    <x v="3"/>
    <s v="Stationery"/>
    <n v="4"/>
    <n v="11.17"/>
    <n v="44.68"/>
  </r>
  <r>
    <n v="196"/>
    <s v="A"/>
    <x v="0"/>
    <x v="1"/>
    <s v="Apple"/>
    <x v="2"/>
    <s v="Fruits"/>
    <n v="6"/>
    <n v="57.65"/>
    <n v="345.9"/>
  </r>
  <r>
    <n v="197"/>
    <s v="A"/>
    <x v="0"/>
    <x v="0"/>
    <s v="Notebook"/>
    <x v="1"/>
    <s v="Stationery"/>
    <n v="15"/>
    <n v="312.81"/>
    <n v="4692.1499999999996"/>
  </r>
  <r>
    <n v="198"/>
    <s v="A"/>
    <x v="2"/>
    <x v="0"/>
    <s v="Orange Juice"/>
    <x v="0"/>
    <s v="Beverages"/>
    <n v="18"/>
    <n v="130.97"/>
    <n v="2357.46"/>
  </r>
  <r>
    <n v="199"/>
    <s v="B"/>
    <x v="1"/>
    <x v="0"/>
    <s v="Notebook"/>
    <x v="2"/>
    <s v="Stationery"/>
    <n v="16"/>
    <n v="168.46"/>
    <n v="2695.36"/>
  </r>
  <r>
    <n v="200"/>
    <s v="A"/>
    <x v="2"/>
    <x v="1"/>
    <s v="Apple"/>
    <x v="2"/>
    <s v="Fruits"/>
    <n v="6"/>
    <n v="73.12"/>
    <n v="438.72"/>
  </r>
  <r>
    <n v="201"/>
    <s v="A"/>
    <x v="0"/>
    <x v="1"/>
    <s v="Detergent"/>
    <x v="0"/>
    <s v="Household"/>
    <n v="13"/>
    <n v="115.45"/>
    <n v="1500.8500000000001"/>
  </r>
  <r>
    <n v="202"/>
    <s v="A"/>
    <x v="0"/>
    <x v="0"/>
    <s v="Detergent"/>
    <x v="3"/>
    <s v="Household"/>
    <n v="8"/>
    <n v="93.3"/>
    <n v="746.4"/>
  </r>
  <r>
    <n v="203"/>
    <s v="B"/>
    <x v="1"/>
    <x v="0"/>
    <s v="Shampoo"/>
    <x v="2"/>
    <s v="Personal Care"/>
    <n v="20"/>
    <n v="64.2"/>
    <n v="1284"/>
  </r>
  <r>
    <n v="204"/>
    <s v="A"/>
    <x v="2"/>
    <x v="0"/>
    <s v="Detergent"/>
    <x v="3"/>
    <s v="Household"/>
    <n v="10"/>
    <n v="176.55"/>
    <n v="1765.5"/>
  </r>
  <r>
    <n v="205"/>
    <s v="A"/>
    <x v="0"/>
    <x v="1"/>
    <s v="Orange Juice"/>
    <x v="0"/>
    <s v="Beverages"/>
    <n v="5"/>
    <n v="107.32"/>
    <n v="536.59999999999991"/>
  </r>
  <r>
    <n v="206"/>
    <s v="A"/>
    <x v="0"/>
    <x v="1"/>
    <s v="Shampoo"/>
    <x v="3"/>
    <s v="Personal Care"/>
    <n v="7"/>
    <n v="80.37"/>
    <n v="562.59"/>
  </r>
  <r>
    <n v="207"/>
    <s v="B"/>
    <x v="1"/>
    <x v="1"/>
    <s v="Detergent"/>
    <x v="1"/>
    <s v="Household"/>
    <n v="18"/>
    <n v="162.94"/>
    <n v="2932.92"/>
  </r>
  <r>
    <n v="208"/>
    <s v="A"/>
    <x v="0"/>
    <x v="0"/>
    <s v="Shampoo"/>
    <x v="2"/>
    <s v="Personal Care"/>
    <n v="20"/>
    <n v="144.66"/>
    <n v="2893.2"/>
  </r>
  <r>
    <n v="209"/>
    <s v="B"/>
    <x v="1"/>
    <x v="1"/>
    <s v="Orange Juice"/>
    <x v="0"/>
    <s v="Beverages"/>
    <n v="7"/>
    <n v="65.239999999999995"/>
    <n v="456.67999999999995"/>
  </r>
  <r>
    <n v="210"/>
    <s v="B"/>
    <x v="1"/>
    <x v="0"/>
    <s v="Notebook"/>
    <x v="4"/>
    <s v="Stationery"/>
    <n v="18"/>
    <n v="133.09"/>
    <n v="2395.62"/>
  </r>
  <r>
    <n v="211"/>
    <s v="A"/>
    <x v="2"/>
    <x v="0"/>
    <s v="Notebook"/>
    <x v="1"/>
    <s v="Stationery"/>
    <n v="15"/>
    <n v="259.69"/>
    <n v="3895.35"/>
  </r>
  <r>
    <n v="212"/>
    <s v="A"/>
    <x v="2"/>
    <x v="0"/>
    <s v="Detergent"/>
    <x v="1"/>
    <s v="Household"/>
    <n v="17"/>
    <n v="227.38"/>
    <n v="3865.46"/>
  </r>
  <r>
    <n v="213"/>
    <s v="A"/>
    <x v="0"/>
    <x v="1"/>
    <s v="Orange Juice"/>
    <x v="2"/>
    <s v="Beverages"/>
    <n v="16"/>
    <n v="300.45999999999998"/>
    <n v="4807.3599999999997"/>
  </r>
  <r>
    <n v="214"/>
    <s v="A"/>
    <x v="0"/>
    <x v="1"/>
    <s v="Notebook"/>
    <x v="3"/>
    <s v="Stationery"/>
    <n v="1"/>
    <n v="18.82"/>
    <n v="18.82"/>
  </r>
  <r>
    <n v="215"/>
    <s v="B"/>
    <x v="1"/>
    <x v="0"/>
    <s v="Notebook"/>
    <x v="4"/>
    <s v="Stationery"/>
    <n v="19"/>
    <n v="136.21"/>
    <n v="2587.9900000000002"/>
  </r>
  <r>
    <n v="216"/>
    <s v="A"/>
    <x v="0"/>
    <x v="0"/>
    <s v="Shampoo"/>
    <x v="2"/>
    <s v="Personal Care"/>
    <n v="2"/>
    <n v="39.270000000000003"/>
    <n v="78.540000000000006"/>
  </r>
  <r>
    <n v="217"/>
    <s v="A"/>
    <x v="0"/>
    <x v="1"/>
    <s v="Orange Juice"/>
    <x v="1"/>
    <s v="Beverages"/>
    <n v="16"/>
    <n v="121.38"/>
    <n v="1942.08"/>
  </r>
  <r>
    <n v="218"/>
    <s v="A"/>
    <x v="2"/>
    <x v="0"/>
    <s v="Detergent"/>
    <x v="3"/>
    <s v="Household"/>
    <n v="9"/>
    <n v="192.21"/>
    <n v="1729.89"/>
  </r>
  <r>
    <n v="219"/>
    <s v="B"/>
    <x v="1"/>
    <x v="1"/>
    <s v="Shampoo"/>
    <x v="1"/>
    <s v="Personal Care"/>
    <n v="16"/>
    <n v="51.53"/>
    <n v="824.48"/>
  </r>
  <r>
    <n v="220"/>
    <s v="A"/>
    <x v="0"/>
    <x v="0"/>
    <s v="Detergent"/>
    <x v="2"/>
    <s v="Household"/>
    <n v="13"/>
    <n v="66.77"/>
    <n v="868.01"/>
  </r>
  <r>
    <n v="221"/>
    <s v="B"/>
    <x v="1"/>
    <x v="1"/>
    <s v="Orange Juice"/>
    <x v="0"/>
    <s v="Beverages"/>
    <n v="17"/>
    <n v="106.59"/>
    <n v="1812.03"/>
  </r>
  <r>
    <n v="222"/>
    <s v="B"/>
    <x v="1"/>
    <x v="0"/>
    <s v="Orange Juice"/>
    <x v="0"/>
    <s v="Beverages"/>
    <n v="19"/>
    <n v="356.79"/>
    <n v="6779.01"/>
  </r>
  <r>
    <n v="223"/>
    <s v="A"/>
    <x v="0"/>
    <x v="0"/>
    <s v="Shampoo"/>
    <x v="1"/>
    <s v="Personal Care"/>
    <n v="5"/>
    <n v="77.41"/>
    <n v="387.04999999999995"/>
  </r>
  <r>
    <n v="224"/>
    <s v="A"/>
    <x v="2"/>
    <x v="0"/>
    <s v="Orange Juice"/>
    <x v="0"/>
    <s v="Beverages"/>
    <n v="14"/>
    <n v="118.49"/>
    <n v="1658.86"/>
  </r>
  <r>
    <n v="225"/>
    <s v="A"/>
    <x v="2"/>
    <x v="0"/>
    <s v="Apple"/>
    <x v="1"/>
    <s v="Fruits"/>
    <n v="19"/>
    <n v="103.89"/>
    <n v="1973.91"/>
  </r>
  <r>
    <n v="226"/>
    <s v="A"/>
    <x v="2"/>
    <x v="0"/>
    <s v="Shampoo"/>
    <x v="2"/>
    <s v="Personal Care"/>
    <n v="16"/>
    <n v="301.64999999999998"/>
    <n v="4826.3999999999996"/>
  </r>
  <r>
    <n v="227"/>
    <s v="A"/>
    <x v="0"/>
    <x v="0"/>
    <s v="Shampoo"/>
    <x v="4"/>
    <s v="Personal Care"/>
    <n v="3"/>
    <n v="41.06"/>
    <n v="123.18"/>
  </r>
  <r>
    <n v="228"/>
    <s v="A"/>
    <x v="0"/>
    <x v="1"/>
    <s v="Apple"/>
    <x v="0"/>
    <s v="Fruits"/>
    <n v="1"/>
    <n v="10.26"/>
    <n v="10.26"/>
  </r>
  <r>
    <n v="229"/>
    <s v="A"/>
    <x v="0"/>
    <x v="1"/>
    <s v="Notebook"/>
    <x v="2"/>
    <s v="Stationery"/>
    <n v="14"/>
    <n v="38.65"/>
    <n v="541.1"/>
  </r>
  <r>
    <n v="230"/>
    <s v="A"/>
    <x v="0"/>
    <x v="1"/>
    <s v="Shampoo"/>
    <x v="3"/>
    <s v="Personal Care"/>
    <n v="12"/>
    <n v="193.63"/>
    <n v="2323.56"/>
  </r>
  <r>
    <n v="231"/>
    <s v="A"/>
    <x v="0"/>
    <x v="0"/>
    <s v="Shampoo"/>
    <x v="3"/>
    <s v="Personal Care"/>
    <n v="1"/>
    <n v="11.13"/>
    <n v="11.13"/>
  </r>
  <r>
    <n v="232"/>
    <s v="A"/>
    <x v="2"/>
    <x v="1"/>
    <s v="Shampoo"/>
    <x v="3"/>
    <s v="Personal Care"/>
    <n v="4"/>
    <n v="4.58"/>
    <n v="18.32"/>
  </r>
  <r>
    <n v="233"/>
    <s v="A"/>
    <x v="0"/>
    <x v="1"/>
    <s v="Shampoo"/>
    <x v="0"/>
    <s v="Personal Care"/>
    <n v="6"/>
    <n v="18.170000000000002"/>
    <n v="109.02000000000001"/>
  </r>
  <r>
    <n v="234"/>
    <s v="A"/>
    <x v="2"/>
    <x v="0"/>
    <s v="Notebook"/>
    <x v="2"/>
    <s v="Stationery"/>
    <n v="5"/>
    <n v="24.77"/>
    <n v="123.85"/>
  </r>
  <r>
    <n v="235"/>
    <s v="A"/>
    <x v="0"/>
    <x v="1"/>
    <s v="Apple"/>
    <x v="3"/>
    <s v="Fruits"/>
    <n v="2"/>
    <n v="27.35"/>
    <n v="54.7"/>
  </r>
  <r>
    <n v="236"/>
    <s v="A"/>
    <x v="2"/>
    <x v="0"/>
    <s v="Apple"/>
    <x v="3"/>
    <s v="Fruits"/>
    <n v="16"/>
    <n v="197.91"/>
    <n v="3166.56"/>
  </r>
  <r>
    <n v="237"/>
    <s v="B"/>
    <x v="1"/>
    <x v="1"/>
    <s v="Detergent"/>
    <x v="3"/>
    <s v="Household"/>
    <n v="8"/>
    <n v="154.94"/>
    <n v="1239.52"/>
  </r>
  <r>
    <n v="238"/>
    <s v="A"/>
    <x v="0"/>
    <x v="0"/>
    <s v="Shampoo"/>
    <x v="4"/>
    <s v="Personal Care"/>
    <n v="1"/>
    <n v="8.1300000000000008"/>
    <n v="8.1300000000000008"/>
  </r>
  <r>
    <n v="239"/>
    <s v="A"/>
    <x v="2"/>
    <x v="0"/>
    <s v="Shampoo"/>
    <x v="4"/>
    <s v="Personal Care"/>
    <n v="15"/>
    <n v="318.58999999999997"/>
    <n v="4778.8499999999995"/>
  </r>
  <r>
    <n v="240"/>
    <s v="B"/>
    <x v="1"/>
    <x v="1"/>
    <s v="Shampoo"/>
    <x v="2"/>
    <s v="Personal Care"/>
    <n v="16"/>
    <n v="184.38"/>
    <n v="2950.08"/>
  </r>
  <r>
    <n v="241"/>
    <s v="B"/>
    <x v="1"/>
    <x v="1"/>
    <s v="Shampoo"/>
    <x v="3"/>
    <s v="Personal Care"/>
    <n v="10"/>
    <n v="38.630000000000003"/>
    <n v="386.3"/>
  </r>
  <r>
    <n v="242"/>
    <s v="A"/>
    <x v="0"/>
    <x v="1"/>
    <s v="Shampoo"/>
    <x v="1"/>
    <s v="Personal Care"/>
    <n v="13"/>
    <n v="94.17"/>
    <n v="1224.21"/>
  </r>
  <r>
    <n v="243"/>
    <s v="A"/>
    <x v="2"/>
    <x v="1"/>
    <s v="Shampoo"/>
    <x v="0"/>
    <s v="Personal Care"/>
    <n v="6"/>
    <n v="65.61"/>
    <n v="393.65999999999997"/>
  </r>
  <r>
    <n v="244"/>
    <s v="B"/>
    <x v="1"/>
    <x v="1"/>
    <s v="Apple"/>
    <x v="0"/>
    <s v="Fruits"/>
    <n v="15"/>
    <n v="200.14"/>
    <n v="3002.1"/>
  </r>
  <r>
    <n v="245"/>
    <s v="A"/>
    <x v="2"/>
    <x v="1"/>
    <s v="Shampoo"/>
    <x v="3"/>
    <s v="Personal Care"/>
    <n v="16"/>
    <n v="266.04000000000002"/>
    <n v="4256.6400000000003"/>
  </r>
  <r>
    <n v="246"/>
    <s v="A"/>
    <x v="0"/>
    <x v="0"/>
    <s v="Notebook"/>
    <x v="4"/>
    <s v="Stationery"/>
    <n v="9"/>
    <n v="176.23"/>
    <n v="1586.07"/>
  </r>
  <r>
    <n v="247"/>
    <s v="A"/>
    <x v="2"/>
    <x v="1"/>
    <s v="Detergent"/>
    <x v="4"/>
    <s v="Household"/>
    <n v="3"/>
    <n v="28.28"/>
    <n v="84.84"/>
  </r>
  <r>
    <n v="248"/>
    <s v="A"/>
    <x v="0"/>
    <x v="0"/>
    <s v="Apple"/>
    <x v="2"/>
    <s v="Fruits"/>
    <n v="17"/>
    <n v="246.11"/>
    <n v="4183.87"/>
  </r>
  <r>
    <n v="249"/>
    <s v="A"/>
    <x v="0"/>
    <x v="1"/>
    <s v="Detergent"/>
    <x v="0"/>
    <s v="Household"/>
    <n v="19"/>
    <n v="195.37"/>
    <n v="3712.03"/>
  </r>
  <r>
    <n v="250"/>
    <s v="B"/>
    <x v="1"/>
    <x v="0"/>
    <s v="Apple"/>
    <x v="4"/>
    <s v="Fruits"/>
    <n v="18"/>
    <n v="195.87"/>
    <n v="3525.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484D2-105C-472B-93CD-97CD07019656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7" firstHeaderRow="0" firstDataRow="1" firstDataCol="1"/>
  <pivotFields count="10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numFmtId="1" showAll="0"/>
    <pivotField dataField="1" numFmtId="164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8" baseField="0" baseItem="0" numFmtId="164"/>
    <dataField name="Sum of Revenue" fld="9" baseField="0" baseItem="0" numFmtId="164"/>
  </dataFields>
  <formats count="4">
    <format dxfId="7">
      <pivotArea field="2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D49F1-3A34-47B4-96FD-41869DDC620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10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" showAll="0"/>
    <pivotField numFmtId="164" showAll="0"/>
    <pivotField dataField="1" numFmtId="164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Revenue" fld="9" baseField="0" baseItem="0" numFmtId="164"/>
  </dataFields>
  <formats count="4">
    <format dxfId="11">
      <pivotArea field="3" type="button" dataOnly="0" labelOnly="1" outline="0" axis="axisRow" fieldPosition="0"/>
    </format>
    <format dxfId="10">
      <pivotArea dataOnly="0" labelOnly="1" outline="0" axis="axisValues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1952F-31C0-4B21-AB82-F802371ACB8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8">
        <item x="4"/>
        <item x="2"/>
        <item x="3"/>
        <item x="0"/>
        <item x="1"/>
        <item m="1" x="6"/>
        <item h="1" x="5"/>
        <item t="default"/>
      </items>
    </pivotField>
    <pivotField showAll="0"/>
    <pivotField numFmtId="1" showAll="0"/>
    <pivotField dataField="1" numFmtId="164" showAll="0"/>
    <pivotField numFmtId="16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8" baseField="0" baseItem="0" numFmtId="164"/>
  </dataFields>
  <formats count="4">
    <format dxfId="3">
      <pivotArea field="5" type="button" dataOnly="0" labelOnly="1" outline="0" axis="axisRow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034D-E78C-4F7F-9201-45BB696C2BC4}">
  <dimension ref="A3:C7"/>
  <sheetViews>
    <sheetView workbookViewId="0">
      <selection activeCell="L6" sqref="L6"/>
    </sheetView>
  </sheetViews>
  <sheetFormatPr defaultRowHeight="14.5" x14ac:dyDescent="0.35"/>
  <cols>
    <col min="1" max="1" width="12.453125" bestFit="1" customWidth="1"/>
    <col min="2" max="2" width="16.26953125" bestFit="1" customWidth="1"/>
    <col min="3" max="3" width="14.36328125" bestFit="1" customWidth="1"/>
  </cols>
  <sheetData>
    <row r="3" spans="1:3" x14ac:dyDescent="0.35">
      <c r="A3" s="26" t="s">
        <v>42</v>
      </c>
      <c r="B3" s="26" t="s">
        <v>44</v>
      </c>
      <c r="C3" s="26" t="s">
        <v>45</v>
      </c>
    </row>
    <row r="4" spans="1:3" x14ac:dyDescent="0.35">
      <c r="A4" s="2" t="s">
        <v>14</v>
      </c>
      <c r="B4" s="25">
        <v>11133.049999999997</v>
      </c>
      <c r="C4" s="25">
        <v>166484.58000000005</v>
      </c>
    </row>
    <row r="5" spans="1:3" x14ac:dyDescent="0.35">
      <c r="A5" s="2" t="s">
        <v>8</v>
      </c>
      <c r="B5" s="25">
        <v>8948.8099999999959</v>
      </c>
      <c r="C5" s="25">
        <v>125424.5</v>
      </c>
    </row>
    <row r="6" spans="1:3" x14ac:dyDescent="0.35">
      <c r="A6" s="2" t="s">
        <v>3</v>
      </c>
      <c r="B6" s="25">
        <v>10964.419999999996</v>
      </c>
      <c r="C6" s="25">
        <v>148536.84999999998</v>
      </c>
    </row>
    <row r="7" spans="1:3" x14ac:dyDescent="0.35">
      <c r="A7" s="27" t="s">
        <v>43</v>
      </c>
      <c r="B7" s="28">
        <v>31046.279999999992</v>
      </c>
      <c r="C7" s="28">
        <v>440445.93000000005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14C5-203E-49E6-B0F3-96BBD5AC6A88}">
  <dimension ref="A3:B6"/>
  <sheetViews>
    <sheetView tabSelected="1" workbookViewId="0">
      <selection activeCell="B10" sqref="B10"/>
    </sheetView>
  </sheetViews>
  <sheetFormatPr defaultRowHeight="14.5" x14ac:dyDescent="0.35"/>
  <cols>
    <col min="1" max="1" width="12.453125" bestFit="1" customWidth="1"/>
    <col min="2" max="2" width="14.36328125" bestFit="1" customWidth="1"/>
  </cols>
  <sheetData>
    <row r="3" spans="1:2" x14ac:dyDescent="0.35">
      <c r="A3" s="26" t="s">
        <v>42</v>
      </c>
      <c r="B3" s="26" t="s">
        <v>45</v>
      </c>
    </row>
    <row r="4" spans="1:2" x14ac:dyDescent="0.35">
      <c r="A4" s="2" t="s">
        <v>4</v>
      </c>
      <c r="B4" s="25">
        <v>261436.25999999998</v>
      </c>
    </row>
    <row r="5" spans="1:2" x14ac:dyDescent="0.35">
      <c r="A5" s="2" t="s">
        <v>9</v>
      </c>
      <c r="B5" s="25">
        <v>179009.66999999998</v>
      </c>
    </row>
    <row r="6" spans="1:2" x14ac:dyDescent="0.35">
      <c r="A6" s="27" t="s">
        <v>43</v>
      </c>
      <c r="B6" s="28">
        <v>440445.92999999993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6DA8-A15F-462E-A420-EDCA01664750}">
  <dimension ref="A3:B9"/>
  <sheetViews>
    <sheetView zoomScale="85" zoomScaleNormal="85" workbookViewId="0">
      <selection activeCell="O7" sqref="O7"/>
    </sheetView>
  </sheetViews>
  <sheetFormatPr defaultRowHeight="14.5" x14ac:dyDescent="0.35"/>
  <cols>
    <col min="1" max="1" width="13.1796875" bestFit="1" customWidth="1"/>
    <col min="2" max="2" width="16.453125" bestFit="1" customWidth="1"/>
  </cols>
  <sheetData>
    <row r="3" spans="1:2" x14ac:dyDescent="0.35">
      <c r="A3" s="26" t="s">
        <v>42</v>
      </c>
      <c r="B3" s="26" t="s">
        <v>44</v>
      </c>
    </row>
    <row r="4" spans="1:2" x14ac:dyDescent="0.35">
      <c r="A4" s="2" t="s">
        <v>18</v>
      </c>
      <c r="B4" s="25">
        <v>6463.1699999999992</v>
      </c>
    </row>
    <row r="5" spans="1:2" x14ac:dyDescent="0.35">
      <c r="A5" s="2" t="s">
        <v>13</v>
      </c>
      <c r="B5" s="25">
        <v>7505.079999999999</v>
      </c>
    </row>
    <row r="6" spans="1:2" x14ac:dyDescent="0.35">
      <c r="A6" s="2" t="s">
        <v>16</v>
      </c>
      <c r="B6" s="25">
        <v>5704.9</v>
      </c>
    </row>
    <row r="7" spans="1:2" x14ac:dyDescent="0.35">
      <c r="A7" s="2" t="s">
        <v>6</v>
      </c>
      <c r="B7" s="25">
        <v>4598.0600000000004</v>
      </c>
    </row>
    <row r="8" spans="1:2" x14ac:dyDescent="0.35">
      <c r="A8" s="2" t="s">
        <v>11</v>
      </c>
      <c r="B8" s="25">
        <v>6255.25</v>
      </c>
    </row>
    <row r="9" spans="1:2" x14ac:dyDescent="0.35">
      <c r="A9" s="27" t="s">
        <v>43</v>
      </c>
      <c r="B9" s="28">
        <v>30526.46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Q260"/>
  <sheetViews>
    <sheetView topLeftCell="A67" zoomScale="70" zoomScaleNormal="70" workbookViewId="0">
      <selection activeCell="F100" sqref="F100"/>
    </sheetView>
  </sheetViews>
  <sheetFormatPr defaultRowHeight="14.5" x14ac:dyDescent="0.35"/>
  <cols>
    <col min="1" max="1" width="18.7265625" style="4" bestFit="1" customWidth="1"/>
    <col min="2" max="2" width="18.26953125" style="4" bestFit="1" customWidth="1"/>
    <col min="3" max="3" width="14.6328125" bestFit="1" customWidth="1"/>
    <col min="4" max="4" width="28.7265625" style="4" bestFit="1" customWidth="1"/>
    <col min="5" max="5" width="27.81640625" style="4" bestFit="1" customWidth="1"/>
    <col min="6" max="6" width="31.6328125" style="4" bestFit="1" customWidth="1"/>
    <col min="7" max="7" width="28.81640625" style="4" bestFit="1" customWidth="1"/>
    <col min="8" max="8" width="20.26953125" style="4" bestFit="1" customWidth="1"/>
    <col min="9" max="9" width="19.453125" style="2" bestFit="1" customWidth="1"/>
    <col min="10" max="10" width="11.81640625" style="2" bestFit="1" customWidth="1"/>
    <col min="12" max="12" width="23.81640625" customWidth="1"/>
    <col min="13" max="13" width="14.81640625" customWidth="1"/>
    <col min="14" max="14" width="22.7265625" customWidth="1"/>
    <col min="15" max="15" width="15.81640625" customWidth="1"/>
    <col min="16" max="16" width="28" customWidth="1"/>
  </cols>
  <sheetData>
    <row r="1" spans="1:17" s="24" customFormat="1" ht="21.5" thickBot="1" x14ac:dyDescent="0.55000000000000004">
      <c r="A1" s="21" t="s">
        <v>37</v>
      </c>
      <c r="B1" s="22" t="s">
        <v>34</v>
      </c>
      <c r="C1" s="22" t="s">
        <v>38</v>
      </c>
      <c r="D1" s="22" t="s">
        <v>39</v>
      </c>
      <c r="E1" s="22" t="s">
        <v>40</v>
      </c>
      <c r="F1" s="22" t="s">
        <v>41</v>
      </c>
      <c r="G1" s="22" t="s">
        <v>33</v>
      </c>
      <c r="H1" s="22" t="s">
        <v>35</v>
      </c>
      <c r="I1" s="22" t="s">
        <v>36</v>
      </c>
      <c r="J1" s="23" t="s">
        <v>20</v>
      </c>
    </row>
    <row r="2" spans="1:17" ht="15" thickBot="1" x14ac:dyDescent="0.4">
      <c r="A2" s="6">
        <v>1</v>
      </c>
      <c r="B2" s="4" t="s">
        <v>2</v>
      </c>
      <c r="C2" t="s">
        <v>3</v>
      </c>
      <c r="D2" s="4" t="s">
        <v>4</v>
      </c>
      <c r="E2" s="4" t="s">
        <v>5</v>
      </c>
      <c r="F2" s="4" t="s">
        <v>6</v>
      </c>
      <c r="G2" s="10" t="str" cm="1">
        <f t="array" ref="G2">_xlfn.IFS(E2="Apple","Fruits", E2="Orange Juice","Beverages", E2="Detergent","Household", E2="Shampoo","Personal Care", E2="Notebook","Stationery")</f>
        <v>Personal Care</v>
      </c>
      <c r="H2" s="12">
        <v>3</v>
      </c>
      <c r="I2" s="15">
        <v>17.66</v>
      </c>
      <c r="J2" s="14">
        <f t="shared" ref="J2:J65" si="0">H2*I2</f>
        <v>52.980000000000004</v>
      </c>
    </row>
    <row r="3" spans="1:17" ht="21" x14ac:dyDescent="0.5">
      <c r="A3" s="6">
        <v>2</v>
      </c>
      <c r="B3" s="4" t="s">
        <v>7</v>
      </c>
      <c r="C3" t="s">
        <v>8</v>
      </c>
      <c r="D3" s="4" t="s">
        <v>9</v>
      </c>
      <c r="E3" s="4" t="s">
        <v>10</v>
      </c>
      <c r="F3" s="4" t="s">
        <v>11</v>
      </c>
      <c r="G3" s="10" t="str" cm="1">
        <f t="array" ref="G3">_xlfn.IFS(E3="Apple","Fruits", E3="Orange Juice","Beverages", E3="Detergent","Household", E3="Shampoo","Personal Care", E3="Notebook","Stationery")</f>
        <v>Stationery</v>
      </c>
      <c r="H3" s="12">
        <v>10</v>
      </c>
      <c r="I3" s="15">
        <v>29.43</v>
      </c>
      <c r="J3" s="14">
        <f t="shared" si="0"/>
        <v>294.3</v>
      </c>
      <c r="L3" s="29" t="s">
        <v>35</v>
      </c>
      <c r="M3" s="29"/>
      <c r="N3" s="29" t="s">
        <v>36</v>
      </c>
      <c r="O3" s="29"/>
      <c r="P3" s="29" t="s">
        <v>20</v>
      </c>
      <c r="Q3" s="29"/>
    </row>
    <row r="4" spans="1:17" x14ac:dyDescent="0.35">
      <c r="A4" s="6">
        <v>3</v>
      </c>
      <c r="B4" s="4" t="s">
        <v>2</v>
      </c>
      <c r="C4" t="s">
        <v>3</v>
      </c>
      <c r="D4" s="4" t="s">
        <v>4</v>
      </c>
      <c r="E4" s="4" t="s">
        <v>12</v>
      </c>
      <c r="F4" s="4" t="s">
        <v>13</v>
      </c>
      <c r="G4" s="10" t="str" cm="1">
        <f t="array" ref="G4">_xlfn.IFS(E4="Apple","Fruits", E4="Orange Juice","Beverages", E4="Detergent","Household", E4="Shampoo","Personal Care", E4="Notebook","Stationery")</f>
        <v>Fruits</v>
      </c>
      <c r="H4" s="12">
        <v>15</v>
      </c>
      <c r="I4" s="15">
        <v>19.260000000000002</v>
      </c>
      <c r="J4" s="14">
        <f t="shared" si="0"/>
        <v>288.90000000000003</v>
      </c>
      <c r="N4" s="18"/>
    </row>
    <row r="5" spans="1:17" x14ac:dyDescent="0.35">
      <c r="A5" s="6">
        <v>4</v>
      </c>
      <c r="B5" s="4" t="s">
        <v>2</v>
      </c>
      <c r="C5" t="s">
        <v>14</v>
      </c>
      <c r="D5" s="4" t="s">
        <v>9</v>
      </c>
      <c r="E5" s="4" t="s">
        <v>15</v>
      </c>
      <c r="F5" s="4" t="s">
        <v>16</v>
      </c>
      <c r="G5" s="10" t="str" cm="1">
        <f t="array" ref="G5">_xlfn.IFS(E5="Apple","Fruits", E5="Orange Juice","Beverages", E5="Detergent","Household", E5="Shampoo","Personal Care", E5="Notebook","Stationery")</f>
        <v>Household</v>
      </c>
      <c r="H5" s="12">
        <v>5</v>
      </c>
      <c r="I5" s="15">
        <v>41.73</v>
      </c>
      <c r="J5" s="14">
        <f t="shared" si="0"/>
        <v>208.64999999999998</v>
      </c>
      <c r="L5" s="18" t="s">
        <v>21</v>
      </c>
      <c r="M5">
        <v>10.616</v>
      </c>
      <c r="N5" s="18" t="s">
        <v>21</v>
      </c>
      <c r="O5">
        <v>124.18512</v>
      </c>
      <c r="P5" s="18" t="s">
        <v>21</v>
      </c>
      <c r="Q5">
        <v>1761.7837200000006</v>
      </c>
    </row>
    <row r="6" spans="1:17" x14ac:dyDescent="0.35">
      <c r="A6" s="6">
        <v>5</v>
      </c>
      <c r="B6" s="4" t="s">
        <v>7</v>
      </c>
      <c r="C6" t="s">
        <v>8</v>
      </c>
      <c r="D6" s="4" t="s">
        <v>4</v>
      </c>
      <c r="E6" s="4" t="s">
        <v>17</v>
      </c>
      <c r="F6" s="4" t="s">
        <v>18</v>
      </c>
      <c r="G6" s="10" t="str" cm="1">
        <f t="array" ref="G6">_xlfn.IFS(E6="Apple","Fruits", E6="Orange Juice","Beverages", E6="Detergent","Household", E6="Shampoo","Personal Care", E6="Notebook","Stationery")</f>
        <v>Beverages</v>
      </c>
      <c r="H6" s="12">
        <v>7</v>
      </c>
      <c r="I6" s="15">
        <v>26.22</v>
      </c>
      <c r="J6" s="14">
        <f t="shared" si="0"/>
        <v>183.54</v>
      </c>
      <c r="L6" s="18" t="s">
        <v>22</v>
      </c>
      <c r="M6">
        <v>0.37890427524534054</v>
      </c>
      <c r="N6" s="18" t="s">
        <v>22</v>
      </c>
      <c r="O6">
        <v>6.5133322969417033</v>
      </c>
      <c r="P6" s="18" t="s">
        <v>22</v>
      </c>
      <c r="Q6">
        <v>123.75442695298497</v>
      </c>
    </row>
    <row r="7" spans="1:17" x14ac:dyDescent="0.35">
      <c r="A7" s="6">
        <v>6</v>
      </c>
      <c r="B7" s="4" t="s">
        <v>2</v>
      </c>
      <c r="C7" t="s">
        <v>14</v>
      </c>
      <c r="D7" s="4" t="s">
        <v>9</v>
      </c>
      <c r="E7" s="4" t="s">
        <v>5</v>
      </c>
      <c r="F7" s="4" t="s">
        <v>11</v>
      </c>
      <c r="G7" s="10" t="str" cm="1">
        <f t="array" ref="G7">_xlfn.IFS(E7="Apple","Fruits", E7="Orange Juice","Beverages", E7="Detergent","Household", E7="Shampoo","Personal Care", E7="Notebook","Stationery")</f>
        <v>Personal Care</v>
      </c>
      <c r="H7" s="12">
        <v>9</v>
      </c>
      <c r="I7" s="15">
        <v>108.24</v>
      </c>
      <c r="J7" s="14">
        <f t="shared" si="0"/>
        <v>974.16</v>
      </c>
      <c r="L7" s="18" t="s">
        <v>19</v>
      </c>
      <c r="M7">
        <v>11</v>
      </c>
      <c r="N7" s="18" t="s">
        <v>19</v>
      </c>
      <c r="O7">
        <v>95.43</v>
      </c>
      <c r="P7" s="18" t="s">
        <v>19</v>
      </c>
      <c r="Q7">
        <v>1065.1849999999999</v>
      </c>
    </row>
    <row r="8" spans="1:17" x14ac:dyDescent="0.35">
      <c r="A8" s="6">
        <v>7</v>
      </c>
      <c r="B8" s="4" t="s">
        <v>2</v>
      </c>
      <c r="C8" t="s">
        <v>14</v>
      </c>
      <c r="D8" s="4" t="s">
        <v>9</v>
      </c>
      <c r="E8" s="4" t="s">
        <v>5</v>
      </c>
      <c r="F8" s="4" t="s">
        <v>6</v>
      </c>
      <c r="G8" s="10" t="str" cm="1">
        <f t="array" ref="G8">_xlfn.IFS(E8="Apple","Fruits", E8="Orange Juice","Beverages", E8="Detergent","Household", E8="Shampoo","Personal Care", E8="Notebook","Stationery")</f>
        <v>Personal Care</v>
      </c>
      <c r="H8" s="12">
        <v>1</v>
      </c>
      <c r="I8" s="15">
        <v>11.46</v>
      </c>
      <c r="J8" s="14">
        <f t="shared" si="0"/>
        <v>11.46</v>
      </c>
      <c r="L8" s="18" t="s">
        <v>23</v>
      </c>
      <c r="M8">
        <v>2</v>
      </c>
      <c r="N8" s="18" t="s">
        <v>23</v>
      </c>
      <c r="O8">
        <v>212.82</v>
      </c>
      <c r="P8" s="18" t="s">
        <v>23</v>
      </c>
      <c r="Q8" t="e">
        <v>#N/A</v>
      </c>
    </row>
    <row r="9" spans="1:17" x14ac:dyDescent="0.35">
      <c r="A9" s="6">
        <v>8</v>
      </c>
      <c r="B9" s="4" t="s">
        <v>7</v>
      </c>
      <c r="C9" t="s">
        <v>8</v>
      </c>
      <c r="D9" s="4" t="s">
        <v>9</v>
      </c>
      <c r="E9" s="4" t="s">
        <v>5</v>
      </c>
      <c r="F9" s="4" t="s">
        <v>16</v>
      </c>
      <c r="G9" s="10" t="str" cm="1">
        <f t="array" ref="G9">_xlfn.IFS(E9="Apple","Fruits", E9="Orange Juice","Beverages", E9="Detergent","Household", E9="Shampoo","Personal Care", E9="Notebook","Stationery")</f>
        <v>Personal Care</v>
      </c>
      <c r="H9" s="12">
        <v>9</v>
      </c>
      <c r="I9" s="15">
        <v>175.55</v>
      </c>
      <c r="J9" s="14">
        <f t="shared" si="0"/>
        <v>1579.95</v>
      </c>
      <c r="L9" s="18" t="s">
        <v>24</v>
      </c>
      <c r="M9">
        <v>5.9910026247531549</v>
      </c>
      <c r="N9" s="18" t="s">
        <v>24</v>
      </c>
      <c r="O9">
        <v>102.98482607935972</v>
      </c>
      <c r="P9" s="18" t="s">
        <v>24</v>
      </c>
      <c r="Q9">
        <v>1956.7292985018196</v>
      </c>
    </row>
    <row r="10" spans="1:17" x14ac:dyDescent="0.35">
      <c r="A10" s="6">
        <v>9</v>
      </c>
      <c r="B10" s="4" t="s">
        <v>2</v>
      </c>
      <c r="C10" t="s">
        <v>14</v>
      </c>
      <c r="D10" s="4" t="s">
        <v>4</v>
      </c>
      <c r="E10" s="4" t="s">
        <v>12</v>
      </c>
      <c r="F10" s="4" t="s">
        <v>13</v>
      </c>
      <c r="G10" s="10" t="str" cm="1">
        <f t="array" ref="G10">_xlfn.IFS(E10="Apple","Fruits", E10="Orange Juice","Beverages", E10="Detergent","Household", E10="Shampoo","Personal Care", E10="Notebook","Stationery")</f>
        <v>Fruits</v>
      </c>
      <c r="H10" s="12">
        <v>20</v>
      </c>
      <c r="I10" s="15">
        <v>302.81</v>
      </c>
      <c r="J10" s="14">
        <f t="shared" si="0"/>
        <v>6056.2</v>
      </c>
      <c r="L10" s="18" t="s">
        <v>25</v>
      </c>
      <c r="M10">
        <v>35.892112449799193</v>
      </c>
      <c r="N10" s="18" t="s">
        <v>25</v>
      </c>
      <c r="O10">
        <v>10605.87440259597</v>
      </c>
      <c r="P10" s="18" t="s">
        <v>25</v>
      </c>
      <c r="Q10">
        <v>3828789.5476154233</v>
      </c>
    </row>
    <row r="11" spans="1:17" x14ac:dyDescent="0.35">
      <c r="A11" s="6">
        <v>10</v>
      </c>
      <c r="B11" s="4" t="s">
        <v>7</v>
      </c>
      <c r="C11" t="s">
        <v>8</v>
      </c>
      <c r="D11" s="4" t="s">
        <v>4</v>
      </c>
      <c r="E11" s="4" t="s">
        <v>5</v>
      </c>
      <c r="F11" s="4" t="s">
        <v>13</v>
      </c>
      <c r="G11" s="10" t="str" cm="1">
        <f t="array" ref="G11">_xlfn.IFS(E11="Apple","Fruits", E11="Orange Juice","Beverages", E11="Detergent","Household", E11="Shampoo","Personal Care", E11="Notebook","Stationery")</f>
        <v>Personal Care</v>
      </c>
      <c r="H11" s="12">
        <v>19</v>
      </c>
      <c r="I11" s="15">
        <v>374.48</v>
      </c>
      <c r="J11" s="14">
        <f t="shared" si="0"/>
        <v>7115.1200000000008</v>
      </c>
      <c r="L11" s="18" t="s">
        <v>26</v>
      </c>
      <c r="M11">
        <v>-1.2582708565619498</v>
      </c>
      <c r="N11" s="18" t="s">
        <v>26</v>
      </c>
      <c r="O11">
        <v>5.1722330094990721E-2</v>
      </c>
      <c r="P11" s="18" t="s">
        <v>26</v>
      </c>
      <c r="Q11">
        <v>1.2613526796306584</v>
      </c>
    </row>
    <row r="12" spans="1:17" x14ac:dyDescent="0.35">
      <c r="A12" s="6">
        <v>11</v>
      </c>
      <c r="B12" s="4" t="s">
        <v>2</v>
      </c>
      <c r="C12" t="s">
        <v>14</v>
      </c>
      <c r="D12" s="4" t="s">
        <v>9</v>
      </c>
      <c r="E12" s="4" t="s">
        <v>15</v>
      </c>
      <c r="F12" s="4" t="s">
        <v>18</v>
      </c>
      <c r="G12" s="10" t="str" cm="1">
        <f t="array" ref="G12">_xlfn.IFS(E12="Apple","Fruits", E12="Orange Juice","Beverages", E12="Detergent","Household", E12="Shampoo","Personal Care", E12="Notebook","Stationery")</f>
        <v>Household</v>
      </c>
      <c r="H12" s="12">
        <v>7</v>
      </c>
      <c r="I12" s="15">
        <v>69.81</v>
      </c>
      <c r="J12" s="14">
        <f t="shared" si="0"/>
        <v>488.67</v>
      </c>
      <c r="L12" s="18" t="s">
        <v>27</v>
      </c>
      <c r="M12">
        <v>-7.2603433384061833E-2</v>
      </c>
      <c r="N12" s="18" t="s">
        <v>27</v>
      </c>
      <c r="O12">
        <v>0.91351611064154681</v>
      </c>
      <c r="P12" s="18" t="s">
        <v>27</v>
      </c>
      <c r="Q12">
        <v>1.3502078094146506</v>
      </c>
    </row>
    <row r="13" spans="1:17" x14ac:dyDescent="0.35">
      <c r="A13" s="6">
        <v>13</v>
      </c>
      <c r="B13" s="4" t="s">
        <v>2</v>
      </c>
      <c r="C13" t="s">
        <v>3</v>
      </c>
      <c r="D13" s="4" t="s">
        <v>9</v>
      </c>
      <c r="E13" s="4" t="s">
        <v>17</v>
      </c>
      <c r="F13" s="4" t="s">
        <v>16</v>
      </c>
      <c r="G13" s="10" t="str" cm="1">
        <f t="array" ref="G13">_xlfn.IFS(E13="Apple","Fruits", E13="Orange Juice","Beverages", E13="Detergent","Household", E13="Shampoo","Personal Care", E13="Notebook","Stationery")</f>
        <v>Beverages</v>
      </c>
      <c r="H13" s="12">
        <v>4</v>
      </c>
      <c r="I13" s="15">
        <v>14.08</v>
      </c>
      <c r="J13" s="14">
        <f t="shared" si="0"/>
        <v>56.32</v>
      </c>
      <c r="L13" s="18" t="s">
        <v>28</v>
      </c>
      <c r="M13">
        <v>19</v>
      </c>
      <c r="N13" s="18" t="s">
        <v>28</v>
      </c>
      <c r="O13">
        <v>424.96</v>
      </c>
      <c r="P13" s="18" t="s">
        <v>28</v>
      </c>
      <c r="Q13">
        <v>8538.4399999999987</v>
      </c>
    </row>
    <row r="14" spans="1:17" x14ac:dyDescent="0.35">
      <c r="A14" s="6">
        <v>12</v>
      </c>
      <c r="B14" s="4" t="s">
        <v>7</v>
      </c>
      <c r="C14" t="s">
        <v>8</v>
      </c>
      <c r="D14" s="4" t="s">
        <v>4</v>
      </c>
      <c r="E14" s="4" t="s">
        <v>17</v>
      </c>
      <c r="F14" s="4" t="s">
        <v>16</v>
      </c>
      <c r="G14" s="10" t="str" cm="1">
        <f t="array" ref="G14">_xlfn.IFS(E14="Apple","Fruits", E14="Orange Juice","Beverages", E14="Detergent","Household", E14="Shampoo","Personal Care", E14="Notebook","Stationery")</f>
        <v>Beverages</v>
      </c>
      <c r="H14" s="12">
        <v>12</v>
      </c>
      <c r="I14" s="15">
        <v>88.47</v>
      </c>
      <c r="J14" s="14">
        <f t="shared" si="0"/>
        <v>1061.6399999999999</v>
      </c>
      <c r="L14" s="18" t="s">
        <v>29</v>
      </c>
      <c r="M14">
        <v>1</v>
      </c>
      <c r="N14" s="18" t="s">
        <v>29</v>
      </c>
      <c r="O14">
        <v>2.1800000000000002</v>
      </c>
      <c r="P14" s="18" t="s">
        <v>29</v>
      </c>
      <c r="Q14">
        <v>4.3600000000000003</v>
      </c>
    </row>
    <row r="15" spans="1:17" x14ac:dyDescent="0.35">
      <c r="A15" s="6">
        <v>14</v>
      </c>
      <c r="B15" s="4" t="s">
        <v>7</v>
      </c>
      <c r="C15" t="s">
        <v>8</v>
      </c>
      <c r="D15" s="4" t="s">
        <v>4</v>
      </c>
      <c r="E15" s="4" t="s">
        <v>12</v>
      </c>
      <c r="F15" s="4" t="s">
        <v>13</v>
      </c>
      <c r="G15" s="10" t="str" cm="1">
        <f t="array" ref="G15">_xlfn.IFS(E15="Apple","Fruits", E15="Orange Juice","Beverages", E15="Detergent","Household", E15="Shampoo","Personal Care", E15="Notebook","Stationery")</f>
        <v>Fruits</v>
      </c>
      <c r="H15" s="12">
        <v>5</v>
      </c>
      <c r="I15" s="15">
        <v>47.13</v>
      </c>
      <c r="J15" s="14">
        <f t="shared" si="0"/>
        <v>235.65</v>
      </c>
      <c r="L15" s="18" t="s">
        <v>30</v>
      </c>
      <c r="M15">
        <v>20</v>
      </c>
      <c r="N15" s="18" t="s">
        <v>30</v>
      </c>
      <c r="O15">
        <v>427.14</v>
      </c>
      <c r="P15" s="18" t="s">
        <v>30</v>
      </c>
      <c r="Q15">
        <v>8542.7999999999993</v>
      </c>
    </row>
    <row r="16" spans="1:17" x14ac:dyDescent="0.35">
      <c r="A16" s="6">
        <v>15</v>
      </c>
      <c r="B16" s="4" t="s">
        <v>7</v>
      </c>
      <c r="C16" t="s">
        <v>8</v>
      </c>
      <c r="D16" s="4" t="s">
        <v>9</v>
      </c>
      <c r="E16" s="4" t="s">
        <v>12</v>
      </c>
      <c r="F16" s="4" t="s">
        <v>18</v>
      </c>
      <c r="G16" s="10" t="str" cm="1">
        <f t="array" ref="G16">_xlfn.IFS(E16="Apple","Fruits", E16="Orange Juice","Beverages", E16="Detergent","Household", E16="Shampoo","Personal Care", E16="Notebook","Stationery")</f>
        <v>Fruits</v>
      </c>
      <c r="H16" s="12">
        <v>3</v>
      </c>
      <c r="I16" s="15">
        <v>62.53</v>
      </c>
      <c r="J16" s="14">
        <f t="shared" si="0"/>
        <v>187.59</v>
      </c>
      <c r="L16" s="18" t="s">
        <v>31</v>
      </c>
      <c r="M16">
        <v>2654</v>
      </c>
      <c r="N16" s="18" t="s">
        <v>31</v>
      </c>
      <c r="O16">
        <v>31046.28</v>
      </c>
      <c r="P16" s="18" t="s">
        <v>31</v>
      </c>
      <c r="Q16">
        <v>440445.93000000017</v>
      </c>
    </row>
    <row r="17" spans="1:17" ht="15" thickBot="1" x14ac:dyDescent="0.4">
      <c r="A17" s="6">
        <v>16</v>
      </c>
      <c r="B17" s="4" t="s">
        <v>7</v>
      </c>
      <c r="C17" t="s">
        <v>8</v>
      </c>
      <c r="D17" s="4" t="s">
        <v>9</v>
      </c>
      <c r="E17" s="4" t="s">
        <v>10</v>
      </c>
      <c r="F17" s="4" t="s">
        <v>11</v>
      </c>
      <c r="G17" s="10" t="str" cm="1">
        <f t="array" ref="G17">_xlfn.IFS(E17="Apple","Fruits", E17="Orange Juice","Beverages", E17="Detergent","Household", E17="Shampoo","Personal Care", E17="Notebook","Stationery")</f>
        <v>Stationery</v>
      </c>
      <c r="H17" s="12">
        <v>8</v>
      </c>
      <c r="I17" s="15">
        <v>47.51</v>
      </c>
      <c r="J17" s="14">
        <f t="shared" si="0"/>
        <v>380.08</v>
      </c>
      <c r="L17" s="19" t="s">
        <v>32</v>
      </c>
      <c r="M17" s="3">
        <v>250</v>
      </c>
      <c r="N17" s="19" t="s">
        <v>32</v>
      </c>
      <c r="O17" s="3">
        <v>250</v>
      </c>
      <c r="P17" s="19" t="s">
        <v>32</v>
      </c>
      <c r="Q17" s="3">
        <v>250</v>
      </c>
    </row>
    <row r="18" spans="1:17" x14ac:dyDescent="0.35">
      <c r="A18" s="6">
        <v>17</v>
      </c>
      <c r="B18" s="4" t="s">
        <v>7</v>
      </c>
      <c r="C18" t="s">
        <v>8</v>
      </c>
      <c r="D18" s="4" t="s">
        <v>4</v>
      </c>
      <c r="E18" s="4" t="s">
        <v>12</v>
      </c>
      <c r="F18" s="4" t="s">
        <v>6</v>
      </c>
      <c r="G18" s="10" t="str" cm="1">
        <f t="array" ref="G18">_xlfn.IFS(E18="Apple","Fruits", E18="Orange Juice","Beverages", E18="Detergent","Household", E18="Shampoo","Personal Care", E18="Notebook","Stationery")</f>
        <v>Fruits</v>
      </c>
      <c r="H18" s="12">
        <v>2</v>
      </c>
      <c r="I18" s="15">
        <v>4.5599999999999996</v>
      </c>
      <c r="J18" s="14">
        <f t="shared" si="0"/>
        <v>9.1199999999999992</v>
      </c>
    </row>
    <row r="19" spans="1:17" ht="15" thickBot="1" x14ac:dyDescent="0.4">
      <c r="A19" s="6">
        <v>18</v>
      </c>
      <c r="B19" s="4" t="s">
        <v>7</v>
      </c>
      <c r="C19" t="s">
        <v>8</v>
      </c>
      <c r="D19" s="4" t="s">
        <v>9</v>
      </c>
      <c r="E19" s="4" t="s">
        <v>10</v>
      </c>
      <c r="F19" s="4" t="s">
        <v>13</v>
      </c>
      <c r="G19" s="10" t="str" cm="1">
        <f t="array" ref="G19">_xlfn.IFS(E19="Apple","Fruits", E19="Orange Juice","Beverages", E19="Detergent","Household", E19="Shampoo","Personal Care", E19="Notebook","Stationery")</f>
        <v>Stationery</v>
      </c>
      <c r="H19" s="12">
        <v>15</v>
      </c>
      <c r="I19" s="15">
        <v>212.82</v>
      </c>
      <c r="J19" s="14">
        <f t="shared" si="0"/>
        <v>3192.2999999999997</v>
      </c>
    </row>
    <row r="20" spans="1:17" ht="21" x14ac:dyDescent="0.5">
      <c r="A20" s="6">
        <v>19</v>
      </c>
      <c r="B20" s="4" t="s">
        <v>2</v>
      </c>
      <c r="C20" t="s">
        <v>3</v>
      </c>
      <c r="D20" s="4" t="s">
        <v>4</v>
      </c>
      <c r="E20" s="4" t="s">
        <v>12</v>
      </c>
      <c r="F20" s="4" t="s">
        <v>18</v>
      </c>
      <c r="G20" s="10" t="str" cm="1">
        <f t="array" ref="G20">_xlfn.IFS(E20="Apple","Fruits", E20="Orange Juice","Beverages", E20="Detergent","Household", E20="Shampoo","Personal Care", E20="Notebook","Stationery")</f>
        <v>Fruits</v>
      </c>
      <c r="H20" s="12">
        <v>2</v>
      </c>
      <c r="I20" s="15">
        <v>41.92</v>
      </c>
      <c r="J20" s="14">
        <f t="shared" si="0"/>
        <v>83.84</v>
      </c>
      <c r="L20" s="20"/>
      <c r="M20" s="20" t="s">
        <v>35</v>
      </c>
      <c r="N20" s="20" t="s">
        <v>36</v>
      </c>
      <c r="O20" s="20" t="s">
        <v>20</v>
      </c>
    </row>
    <row r="21" spans="1:17" ht="16" x14ac:dyDescent="0.4">
      <c r="A21" s="6">
        <v>20</v>
      </c>
      <c r="B21" s="4" t="s">
        <v>2</v>
      </c>
      <c r="C21" t="s">
        <v>14</v>
      </c>
      <c r="D21" s="4" t="s">
        <v>9</v>
      </c>
      <c r="E21" s="4" t="s">
        <v>15</v>
      </c>
      <c r="F21" s="4" t="s">
        <v>6</v>
      </c>
      <c r="G21" s="10" t="str" cm="1">
        <f t="array" ref="G21">_xlfn.IFS(E21="Apple","Fruits", E21="Orange Juice","Beverages", E21="Detergent","Household", E21="Shampoo","Personal Care", E21="Notebook","Stationery")</f>
        <v>Household</v>
      </c>
      <c r="H21" s="13">
        <v>11</v>
      </c>
      <c r="I21" s="15">
        <v>59.75</v>
      </c>
      <c r="J21" s="14">
        <f t="shared" si="0"/>
        <v>657.25</v>
      </c>
      <c r="L21" s="7" t="s">
        <v>0</v>
      </c>
      <c r="M21">
        <v>1</v>
      </c>
    </row>
    <row r="22" spans="1:17" ht="16" x14ac:dyDescent="0.4">
      <c r="A22" s="6">
        <v>21</v>
      </c>
      <c r="B22" s="4" t="s">
        <v>7</v>
      </c>
      <c r="C22" t="s">
        <v>8</v>
      </c>
      <c r="D22" s="4" t="s">
        <v>9</v>
      </c>
      <c r="E22" s="4" t="s">
        <v>5</v>
      </c>
      <c r="F22" s="4" t="s">
        <v>6</v>
      </c>
      <c r="G22" s="10" t="str" cm="1">
        <f t="array" ref="G22">_xlfn.IFS(E22="Apple","Fruits", E22="Orange Juice","Beverages", E22="Detergent","Household", E22="Shampoo","Personal Care", E22="Notebook","Stationery")</f>
        <v>Personal Care</v>
      </c>
      <c r="H22" s="12">
        <v>11</v>
      </c>
      <c r="I22" s="15">
        <v>51.32</v>
      </c>
      <c r="J22" s="14">
        <f t="shared" si="0"/>
        <v>564.52</v>
      </c>
      <c r="L22" s="7" t="s">
        <v>1</v>
      </c>
      <c r="M22">
        <v>0.72202565624149639</v>
      </c>
      <c r="N22">
        <v>1</v>
      </c>
    </row>
    <row r="23" spans="1:17" ht="16.5" thickBot="1" x14ac:dyDescent="0.45">
      <c r="A23" s="6">
        <v>22</v>
      </c>
      <c r="B23" s="4" t="s">
        <v>7</v>
      </c>
      <c r="C23" t="s">
        <v>8</v>
      </c>
      <c r="D23" s="4" t="s">
        <v>9</v>
      </c>
      <c r="E23" s="4" t="s">
        <v>17</v>
      </c>
      <c r="F23" s="4" t="s">
        <v>18</v>
      </c>
      <c r="G23" s="10" t="str" cm="1">
        <f t="array" ref="G23">_xlfn.IFS(E23="Apple","Fruits", E23="Orange Juice","Beverages", E23="Detergent","Household", E23="Shampoo","Personal Care", E23="Notebook","Stationery")</f>
        <v>Beverages</v>
      </c>
      <c r="H23" s="12">
        <v>1</v>
      </c>
      <c r="I23" s="15">
        <v>7.28</v>
      </c>
      <c r="J23" s="14">
        <f t="shared" si="0"/>
        <v>7.28</v>
      </c>
      <c r="L23" s="8" t="s">
        <v>20</v>
      </c>
      <c r="M23" s="3">
        <v>0.78539535744045297</v>
      </c>
      <c r="N23" s="3">
        <v>0.9642882979839853</v>
      </c>
      <c r="O23" s="3">
        <v>1</v>
      </c>
    </row>
    <row r="24" spans="1:17" x14ac:dyDescent="0.35">
      <c r="A24" s="6">
        <v>23</v>
      </c>
      <c r="B24" s="4" t="s">
        <v>2</v>
      </c>
      <c r="C24" t="s">
        <v>3</v>
      </c>
      <c r="D24" s="4" t="s">
        <v>4</v>
      </c>
      <c r="E24" s="4" t="s">
        <v>5</v>
      </c>
      <c r="F24" s="4" t="s">
        <v>18</v>
      </c>
      <c r="G24" s="10" t="str" cm="1">
        <f t="array" ref="G24">_xlfn.IFS(E24="Apple","Fruits", E24="Orange Juice","Beverages", E24="Detergent","Household", E24="Shampoo","Personal Care", E24="Notebook","Stationery")</f>
        <v>Personal Care</v>
      </c>
      <c r="H24" s="12">
        <v>16</v>
      </c>
      <c r="I24" s="15">
        <v>33.380000000000003</v>
      </c>
      <c r="J24" s="14">
        <f t="shared" si="0"/>
        <v>534.08000000000004</v>
      </c>
    </row>
    <row r="25" spans="1:17" x14ac:dyDescent="0.35">
      <c r="A25" s="6">
        <v>24</v>
      </c>
      <c r="B25" s="4" t="s">
        <v>2</v>
      </c>
      <c r="C25" t="s">
        <v>14</v>
      </c>
      <c r="D25" s="4" t="s">
        <v>9</v>
      </c>
      <c r="E25" s="4" t="s">
        <v>12</v>
      </c>
      <c r="F25" s="4" t="s">
        <v>13</v>
      </c>
      <c r="G25" s="10" t="str" cm="1">
        <f t="array" ref="G25">_xlfn.IFS(E25="Apple","Fruits", E25="Orange Juice","Beverages", E25="Detergent","Household", E25="Shampoo","Personal Care", E25="Notebook","Stationery")</f>
        <v>Fruits</v>
      </c>
      <c r="H25" s="12">
        <v>2</v>
      </c>
      <c r="I25" s="15">
        <v>40.770000000000003</v>
      </c>
      <c r="J25" s="14">
        <f t="shared" si="0"/>
        <v>81.540000000000006</v>
      </c>
    </row>
    <row r="26" spans="1:17" x14ac:dyDescent="0.35">
      <c r="A26" s="6">
        <v>25</v>
      </c>
      <c r="B26" s="4" t="s">
        <v>7</v>
      </c>
      <c r="C26" t="s">
        <v>8</v>
      </c>
      <c r="D26" s="4" t="s">
        <v>4</v>
      </c>
      <c r="E26" s="4" t="s">
        <v>15</v>
      </c>
      <c r="F26" s="4" t="s">
        <v>18</v>
      </c>
      <c r="G26" s="10" t="str" cm="1">
        <f t="array" ref="G26">_xlfn.IFS(E26="Apple","Fruits", E26="Orange Juice","Beverages", E26="Detergent","Household", E26="Shampoo","Personal Care", E26="Notebook","Stationery")</f>
        <v>Household</v>
      </c>
      <c r="H26" s="12">
        <v>18</v>
      </c>
      <c r="I26" s="15">
        <v>218.22</v>
      </c>
      <c r="J26" s="14">
        <f t="shared" si="0"/>
        <v>3927.96</v>
      </c>
      <c r="L26" s="17"/>
      <c r="M26" s="17"/>
      <c r="N26" s="17"/>
      <c r="O26" s="17"/>
      <c r="P26" s="17"/>
      <c r="Q26" s="17"/>
    </row>
    <row r="27" spans="1:17" x14ac:dyDescent="0.35">
      <c r="A27" s="6">
        <v>26</v>
      </c>
      <c r="B27" s="4" t="s">
        <v>7</v>
      </c>
      <c r="C27" t="s">
        <v>8</v>
      </c>
      <c r="D27" s="4" t="s">
        <v>9</v>
      </c>
      <c r="E27" s="4" t="s">
        <v>10</v>
      </c>
      <c r="F27" s="4" t="s">
        <v>13</v>
      </c>
      <c r="G27" s="10" t="str" cm="1">
        <f t="array" ref="G27">_xlfn.IFS(E27="Apple","Fruits", E27="Orange Juice","Beverages", E27="Detergent","Household", E27="Shampoo","Personal Care", E27="Notebook","Stationery")</f>
        <v>Stationery</v>
      </c>
      <c r="H27" s="12">
        <v>16</v>
      </c>
      <c r="I27" s="15">
        <v>238.65</v>
      </c>
      <c r="J27" s="14">
        <f t="shared" si="0"/>
        <v>3818.4</v>
      </c>
    </row>
    <row r="28" spans="1:17" x14ac:dyDescent="0.35">
      <c r="A28" s="6">
        <v>27</v>
      </c>
      <c r="B28" s="4" t="s">
        <v>2</v>
      </c>
      <c r="C28" t="s">
        <v>3</v>
      </c>
      <c r="D28" s="4" t="s">
        <v>4</v>
      </c>
      <c r="E28" s="4" t="s">
        <v>15</v>
      </c>
      <c r="F28" s="4" t="s">
        <v>16</v>
      </c>
      <c r="G28" s="10" t="str" cm="1">
        <f t="array" ref="G28">_xlfn.IFS(E28="Apple","Fruits", E28="Orange Juice","Beverages", E28="Detergent","Household", E28="Shampoo","Personal Care", E28="Notebook","Stationery")</f>
        <v>Household</v>
      </c>
      <c r="H28" s="12">
        <v>2</v>
      </c>
      <c r="I28" s="15">
        <v>20.440000000000001</v>
      </c>
      <c r="J28" s="14">
        <f t="shared" si="0"/>
        <v>40.880000000000003</v>
      </c>
    </row>
    <row r="29" spans="1:17" x14ac:dyDescent="0.35">
      <c r="A29" s="6">
        <v>28</v>
      </c>
      <c r="B29" s="4" t="s">
        <v>2</v>
      </c>
      <c r="C29" t="s">
        <v>3</v>
      </c>
      <c r="D29" s="4" t="s">
        <v>4</v>
      </c>
      <c r="E29" s="4" t="s">
        <v>15</v>
      </c>
      <c r="F29" s="4" t="s">
        <v>6</v>
      </c>
      <c r="G29" s="10" t="str" cm="1">
        <f t="array" ref="G29">_xlfn.IFS(E29="Apple","Fruits", E29="Orange Juice","Beverages", E29="Detergent","Household", E29="Shampoo","Personal Care", E29="Notebook","Stationery")</f>
        <v>Household</v>
      </c>
      <c r="H29" s="12">
        <v>17</v>
      </c>
      <c r="I29" s="15">
        <v>299.41000000000003</v>
      </c>
      <c r="J29" s="14">
        <f t="shared" si="0"/>
        <v>5089.97</v>
      </c>
    </row>
    <row r="30" spans="1:17" x14ac:dyDescent="0.35">
      <c r="A30" s="6">
        <v>29</v>
      </c>
      <c r="B30" s="4" t="s">
        <v>7</v>
      </c>
      <c r="C30" t="s">
        <v>8</v>
      </c>
      <c r="D30" s="4" t="s">
        <v>4</v>
      </c>
      <c r="E30" s="4" t="s">
        <v>5</v>
      </c>
      <c r="F30" s="4" t="s">
        <v>11</v>
      </c>
      <c r="G30" s="10" t="str" cm="1">
        <f t="array" ref="G30">_xlfn.IFS(E30="Apple","Fruits", E30="Orange Juice","Beverages", E30="Detergent","Household", E30="Shampoo","Personal Care", E30="Notebook","Stationery")</f>
        <v>Personal Care</v>
      </c>
      <c r="H30" s="12">
        <v>17</v>
      </c>
      <c r="I30" s="15">
        <v>223.74</v>
      </c>
      <c r="J30" s="14">
        <f t="shared" si="0"/>
        <v>3803.58</v>
      </c>
    </row>
    <row r="31" spans="1:17" x14ac:dyDescent="0.35">
      <c r="A31" s="6">
        <v>30</v>
      </c>
      <c r="B31" s="4" t="s">
        <v>2</v>
      </c>
      <c r="C31" t="s">
        <v>14</v>
      </c>
      <c r="D31" s="4" t="s">
        <v>4</v>
      </c>
      <c r="E31" s="4" t="s">
        <v>17</v>
      </c>
      <c r="F31" s="16"/>
      <c r="G31" s="16" t="str" cm="1">
        <f t="array" ref="G31">_xlfn.IFS(E31="Apple","Fruits", E31="Orange Juice","Beverages", E31="Detergent","Household", E31="Shampoo","Personal Care", E31="Notebook","Stationery")</f>
        <v>Beverages</v>
      </c>
      <c r="H31" s="12">
        <v>15</v>
      </c>
      <c r="I31" s="15">
        <v>198.54</v>
      </c>
      <c r="J31" s="14">
        <f t="shared" si="0"/>
        <v>2978.1</v>
      </c>
    </row>
    <row r="32" spans="1:17" x14ac:dyDescent="0.35">
      <c r="A32" s="6">
        <v>31</v>
      </c>
      <c r="B32" s="4" t="s">
        <v>2</v>
      </c>
      <c r="C32" t="s">
        <v>14</v>
      </c>
      <c r="D32" s="9" t="s">
        <v>4</v>
      </c>
      <c r="E32" s="4" t="s">
        <v>5</v>
      </c>
      <c r="F32" s="4" t="s">
        <v>13</v>
      </c>
      <c r="G32" s="10" t="str" cm="1">
        <f t="array" ref="G32">_xlfn.IFS(E32="Apple","Fruits", E32="Orange Juice","Beverages", E32="Detergent","Household", E32="Shampoo","Personal Care", E32="Notebook","Stationery")</f>
        <v>Personal Care</v>
      </c>
      <c r="H32" s="12">
        <v>3</v>
      </c>
      <c r="I32" s="15">
        <v>11.88</v>
      </c>
      <c r="J32" s="14">
        <f t="shared" si="0"/>
        <v>35.64</v>
      </c>
    </row>
    <row r="33" spans="1:10" x14ac:dyDescent="0.35">
      <c r="A33" s="6">
        <v>32</v>
      </c>
      <c r="B33" s="4" t="s">
        <v>2</v>
      </c>
      <c r="C33" t="s">
        <v>3</v>
      </c>
      <c r="D33" s="4" t="s">
        <v>4</v>
      </c>
      <c r="E33" s="4" t="s">
        <v>17</v>
      </c>
      <c r="F33" s="16"/>
      <c r="G33" s="16" t="str" cm="1">
        <f t="array" ref="G33">_xlfn.IFS(E33="Apple","Fruits", E33="Orange Juice","Beverages", E33="Detergent","Household", E33="Shampoo","Personal Care", E33="Notebook","Stationery")</f>
        <v>Beverages</v>
      </c>
      <c r="H33" s="12">
        <v>3</v>
      </c>
      <c r="I33" s="15">
        <v>17.3</v>
      </c>
      <c r="J33" s="14">
        <f t="shared" si="0"/>
        <v>51.900000000000006</v>
      </c>
    </row>
    <row r="34" spans="1:10" x14ac:dyDescent="0.35">
      <c r="A34" s="6">
        <v>33</v>
      </c>
      <c r="B34" s="4" t="s">
        <v>7</v>
      </c>
      <c r="C34" t="s">
        <v>8</v>
      </c>
      <c r="D34" s="4" t="s">
        <v>9</v>
      </c>
      <c r="E34" s="4" t="s">
        <v>10</v>
      </c>
      <c r="F34" s="4" t="s">
        <v>11</v>
      </c>
      <c r="G34" s="10" t="str" cm="1">
        <f t="array" ref="G34">_xlfn.IFS(E34="Apple","Fruits", E34="Orange Juice","Beverages", E34="Detergent","Household", E34="Shampoo","Personal Care", E34="Notebook","Stationery")</f>
        <v>Stationery</v>
      </c>
      <c r="H34" s="12">
        <v>17</v>
      </c>
      <c r="I34" s="15">
        <v>126.24</v>
      </c>
      <c r="J34" s="14">
        <f t="shared" si="0"/>
        <v>2146.08</v>
      </c>
    </row>
    <row r="35" spans="1:10" x14ac:dyDescent="0.35">
      <c r="A35" s="6">
        <v>34</v>
      </c>
      <c r="B35" s="4" t="s">
        <v>7</v>
      </c>
      <c r="C35" t="s">
        <v>8</v>
      </c>
      <c r="D35" s="4" t="s">
        <v>9</v>
      </c>
      <c r="E35" s="4" t="s">
        <v>17</v>
      </c>
      <c r="F35" s="4" t="s">
        <v>16</v>
      </c>
      <c r="G35" s="10" t="str" cm="1">
        <f t="array" ref="G35">_xlfn.IFS(E35="Apple","Fruits", E35="Orange Juice","Beverages", E35="Detergent","Household", E35="Shampoo","Personal Care", E35="Notebook","Stationery")</f>
        <v>Beverages</v>
      </c>
      <c r="H35" s="12">
        <v>9</v>
      </c>
      <c r="I35" s="15">
        <v>78.290000000000006</v>
      </c>
      <c r="J35" s="14">
        <f t="shared" si="0"/>
        <v>704.61</v>
      </c>
    </row>
    <row r="36" spans="1:10" x14ac:dyDescent="0.35">
      <c r="A36" s="6">
        <v>35</v>
      </c>
      <c r="B36" s="4" t="s">
        <v>2</v>
      </c>
      <c r="C36" t="s">
        <v>3</v>
      </c>
      <c r="D36" s="9" t="s">
        <v>4</v>
      </c>
      <c r="E36" s="4" t="s">
        <v>12</v>
      </c>
      <c r="F36" s="4" t="s">
        <v>6</v>
      </c>
      <c r="G36" s="10" t="str" cm="1">
        <f t="array" ref="G36">_xlfn.IFS(E36="Apple","Fruits", E36="Orange Juice","Beverages", E36="Detergent","Household", E36="Shampoo","Personal Care", E36="Notebook","Stationery")</f>
        <v>Fruits</v>
      </c>
      <c r="H36" s="12">
        <v>2</v>
      </c>
      <c r="I36" s="15">
        <v>28.72</v>
      </c>
      <c r="J36" s="14">
        <f t="shared" si="0"/>
        <v>57.44</v>
      </c>
    </row>
    <row r="37" spans="1:10" x14ac:dyDescent="0.35">
      <c r="A37" s="6">
        <v>36</v>
      </c>
      <c r="B37" s="4" t="s">
        <v>2</v>
      </c>
      <c r="C37" t="s">
        <v>3</v>
      </c>
      <c r="D37" s="4" t="s">
        <v>4</v>
      </c>
      <c r="E37" s="4" t="s">
        <v>15</v>
      </c>
      <c r="F37" s="4" t="s">
        <v>6</v>
      </c>
      <c r="G37" s="10" t="str" cm="1">
        <f t="array" ref="G37">_xlfn.IFS(E37="Apple","Fruits", E37="Orange Juice","Beverages", E37="Detergent","Household", E37="Shampoo","Personal Care", E37="Notebook","Stationery")</f>
        <v>Household</v>
      </c>
      <c r="H37" s="12">
        <v>15</v>
      </c>
      <c r="I37" s="15">
        <v>210.9</v>
      </c>
      <c r="J37" s="14">
        <f t="shared" si="0"/>
        <v>3163.5</v>
      </c>
    </row>
    <row r="38" spans="1:10" x14ac:dyDescent="0.35">
      <c r="A38" s="6">
        <v>37</v>
      </c>
      <c r="B38" s="4" t="s">
        <v>7</v>
      </c>
      <c r="C38" t="s">
        <v>8</v>
      </c>
      <c r="D38" s="4" t="s">
        <v>4</v>
      </c>
      <c r="E38" s="4" t="s">
        <v>5</v>
      </c>
      <c r="F38" s="4" t="s">
        <v>13</v>
      </c>
      <c r="G38" s="10" t="str" cm="1">
        <f t="array" ref="G38">_xlfn.IFS(E38="Apple","Fruits", E38="Orange Juice","Beverages", E38="Detergent","Household", E38="Shampoo","Personal Care", E38="Notebook","Stationery")</f>
        <v>Personal Care</v>
      </c>
      <c r="H38" s="12">
        <v>16</v>
      </c>
      <c r="I38" s="15">
        <v>190.72</v>
      </c>
      <c r="J38" s="14">
        <f t="shared" si="0"/>
        <v>3051.52</v>
      </c>
    </row>
    <row r="39" spans="1:10" x14ac:dyDescent="0.35">
      <c r="A39" s="6">
        <v>38</v>
      </c>
      <c r="B39" s="4" t="s">
        <v>7</v>
      </c>
      <c r="C39" t="s">
        <v>8</v>
      </c>
      <c r="D39" s="4" t="s">
        <v>4</v>
      </c>
      <c r="E39" s="4" t="s">
        <v>10</v>
      </c>
      <c r="F39" s="4" t="s">
        <v>18</v>
      </c>
      <c r="G39" s="10" t="str" cm="1">
        <f t="array" ref="G39">_xlfn.IFS(E39="Apple","Fruits", E39="Orange Juice","Beverages", E39="Detergent","Household", E39="Shampoo","Personal Care", E39="Notebook","Stationery")</f>
        <v>Stationery</v>
      </c>
      <c r="H39" s="12">
        <v>14</v>
      </c>
      <c r="I39" s="15">
        <v>81.19</v>
      </c>
      <c r="J39" s="14">
        <f t="shared" si="0"/>
        <v>1136.6599999999999</v>
      </c>
    </row>
    <row r="40" spans="1:10" x14ac:dyDescent="0.35">
      <c r="A40" s="6">
        <v>40</v>
      </c>
      <c r="B40" s="4" t="s">
        <v>2</v>
      </c>
      <c r="C40" t="s">
        <v>3</v>
      </c>
      <c r="D40" s="4" t="s">
        <v>9</v>
      </c>
      <c r="E40" s="4" t="s">
        <v>12</v>
      </c>
      <c r="F40" s="4" t="s">
        <v>13</v>
      </c>
      <c r="G40" s="10" t="str" cm="1">
        <f t="array" ref="G40">_xlfn.IFS(E40="Apple","Fruits", E40="Orange Juice","Beverages", E40="Detergent","Household", E40="Shampoo","Personal Care", E40="Notebook","Stationery")</f>
        <v>Fruits</v>
      </c>
      <c r="H40" s="12">
        <v>11</v>
      </c>
      <c r="I40" s="15">
        <v>13.77</v>
      </c>
      <c r="J40" s="14">
        <f t="shared" si="0"/>
        <v>151.47</v>
      </c>
    </row>
    <row r="41" spans="1:10" x14ac:dyDescent="0.35">
      <c r="A41" s="6">
        <v>39</v>
      </c>
      <c r="B41" s="4" t="s">
        <v>2</v>
      </c>
      <c r="C41" t="s">
        <v>3</v>
      </c>
      <c r="D41" s="4" t="s">
        <v>4</v>
      </c>
      <c r="E41" s="4" t="s">
        <v>10</v>
      </c>
      <c r="F41" s="4" t="s">
        <v>18</v>
      </c>
      <c r="G41" s="10" t="str" cm="1">
        <f t="array" ref="G41">_xlfn.IFS(E41="Apple","Fruits", E41="Orange Juice","Beverages", E41="Detergent","Household", E41="Shampoo","Personal Care", E41="Notebook","Stationery")</f>
        <v>Stationery</v>
      </c>
      <c r="H41" s="12">
        <v>15</v>
      </c>
      <c r="I41" s="15">
        <v>246.21</v>
      </c>
      <c r="J41" s="14">
        <f t="shared" si="0"/>
        <v>3693.15</v>
      </c>
    </row>
    <row r="42" spans="1:10" x14ac:dyDescent="0.35">
      <c r="A42" s="6">
        <v>41</v>
      </c>
      <c r="B42" s="4" t="s">
        <v>2</v>
      </c>
      <c r="C42" t="s">
        <v>3</v>
      </c>
      <c r="D42" s="4" t="s">
        <v>4</v>
      </c>
      <c r="E42" s="4" t="s">
        <v>10</v>
      </c>
      <c r="F42" s="4" t="s">
        <v>16</v>
      </c>
      <c r="G42" s="10" t="str" cm="1">
        <f t="array" ref="G42">_xlfn.IFS(E42="Apple","Fruits", E42="Orange Juice","Beverages", E42="Detergent","Household", E42="Shampoo","Personal Care", E42="Notebook","Stationery")</f>
        <v>Stationery</v>
      </c>
      <c r="H42" s="12">
        <v>10</v>
      </c>
      <c r="I42" s="15">
        <v>115.56</v>
      </c>
      <c r="J42" s="14">
        <f t="shared" si="0"/>
        <v>1155.5999999999999</v>
      </c>
    </row>
    <row r="43" spans="1:10" x14ac:dyDescent="0.35">
      <c r="A43" s="6">
        <v>42</v>
      </c>
      <c r="B43" s="4" t="s">
        <v>2</v>
      </c>
      <c r="C43" t="s">
        <v>3</v>
      </c>
      <c r="D43" s="4" t="s">
        <v>9</v>
      </c>
      <c r="E43" s="4" t="s">
        <v>12</v>
      </c>
      <c r="F43" s="4" t="s">
        <v>16</v>
      </c>
      <c r="G43" s="10" t="str" cm="1">
        <f t="array" ref="G43">_xlfn.IFS(E43="Apple","Fruits", E43="Orange Juice","Beverages", E43="Detergent","Household", E43="Shampoo","Personal Care", E43="Notebook","Stationery")</f>
        <v>Fruits</v>
      </c>
      <c r="H43" s="12">
        <v>12</v>
      </c>
      <c r="I43" s="15">
        <v>140.97999999999999</v>
      </c>
      <c r="J43" s="14">
        <f t="shared" si="0"/>
        <v>1691.7599999999998</v>
      </c>
    </row>
    <row r="44" spans="1:10" x14ac:dyDescent="0.35">
      <c r="A44" s="6">
        <v>43</v>
      </c>
      <c r="B44" s="4" t="s">
        <v>2</v>
      </c>
      <c r="C44" t="s">
        <v>3</v>
      </c>
      <c r="D44" s="4" t="s">
        <v>9</v>
      </c>
      <c r="E44" s="4" t="s">
        <v>10</v>
      </c>
      <c r="F44" s="4" t="s">
        <v>13</v>
      </c>
      <c r="G44" s="10" t="str" cm="1">
        <f t="array" ref="G44">_xlfn.IFS(E44="Apple","Fruits", E44="Orange Juice","Beverages", E44="Detergent","Household", E44="Shampoo","Personal Care", E44="Notebook","Stationery")</f>
        <v>Stationery</v>
      </c>
      <c r="H44" s="12">
        <v>2</v>
      </c>
      <c r="I44" s="15">
        <v>8.92</v>
      </c>
      <c r="J44" s="14">
        <f t="shared" si="0"/>
        <v>17.84</v>
      </c>
    </row>
    <row r="45" spans="1:10" x14ac:dyDescent="0.35">
      <c r="A45" s="6">
        <v>44</v>
      </c>
      <c r="B45" s="4" t="s">
        <v>2</v>
      </c>
      <c r="C45" t="s">
        <v>14</v>
      </c>
      <c r="D45" s="9" t="s">
        <v>4</v>
      </c>
      <c r="E45" s="4" t="s">
        <v>15</v>
      </c>
      <c r="F45" s="4" t="s">
        <v>13</v>
      </c>
      <c r="G45" s="10" t="str" cm="1">
        <f t="array" ref="G45">_xlfn.IFS(E45="Apple","Fruits", E45="Orange Juice","Beverages", E45="Detergent","Household", E45="Shampoo","Personal Care", E45="Notebook","Stationery")</f>
        <v>Household</v>
      </c>
      <c r="H45" s="13">
        <v>11</v>
      </c>
      <c r="I45" s="15">
        <v>43.08</v>
      </c>
      <c r="J45" s="14">
        <f t="shared" si="0"/>
        <v>473.88</v>
      </c>
    </row>
    <row r="46" spans="1:10" x14ac:dyDescent="0.35">
      <c r="A46" s="6">
        <v>45</v>
      </c>
      <c r="B46" s="4" t="s">
        <v>7</v>
      </c>
      <c r="C46" t="s">
        <v>8</v>
      </c>
      <c r="D46" s="4" t="s">
        <v>4</v>
      </c>
      <c r="E46" s="4" t="s">
        <v>5</v>
      </c>
      <c r="F46" s="4" t="s">
        <v>16</v>
      </c>
      <c r="G46" s="10" t="str" cm="1">
        <f t="array" ref="G46">_xlfn.IFS(E46="Apple","Fruits", E46="Orange Juice","Beverages", E46="Detergent","Household", E46="Shampoo","Personal Care", E46="Notebook","Stationery")</f>
        <v>Personal Care</v>
      </c>
      <c r="H46" s="12">
        <v>8</v>
      </c>
      <c r="I46" s="15">
        <v>134.65</v>
      </c>
      <c r="J46" s="14">
        <f t="shared" si="0"/>
        <v>1077.2</v>
      </c>
    </row>
    <row r="47" spans="1:10" x14ac:dyDescent="0.35">
      <c r="A47" s="6">
        <v>46</v>
      </c>
      <c r="B47" s="4" t="s">
        <v>2</v>
      </c>
      <c r="C47" t="s">
        <v>3</v>
      </c>
      <c r="D47" s="4" t="s">
        <v>4</v>
      </c>
      <c r="E47" s="4" t="s">
        <v>5</v>
      </c>
      <c r="F47" s="4" t="s">
        <v>13</v>
      </c>
      <c r="G47" s="10" t="str" cm="1">
        <f t="array" ref="G47">_xlfn.IFS(E47="Apple","Fruits", E47="Orange Juice","Beverages", E47="Detergent","Household", E47="Shampoo","Personal Care", E47="Notebook","Stationery")</f>
        <v>Personal Care</v>
      </c>
      <c r="H47" s="12">
        <v>8</v>
      </c>
      <c r="I47" s="15">
        <v>136.53</v>
      </c>
      <c r="J47" s="14">
        <f t="shared" si="0"/>
        <v>1092.24</v>
      </c>
    </row>
    <row r="48" spans="1:10" x14ac:dyDescent="0.35">
      <c r="A48" s="6">
        <v>47</v>
      </c>
      <c r="B48" s="4" t="s">
        <v>2</v>
      </c>
      <c r="C48" t="s">
        <v>3</v>
      </c>
      <c r="D48" s="4" t="s">
        <v>9</v>
      </c>
      <c r="E48" s="4" t="s">
        <v>5</v>
      </c>
      <c r="F48" s="4" t="s">
        <v>11</v>
      </c>
      <c r="G48" s="10" t="str" cm="1">
        <f t="array" ref="G48">_xlfn.IFS(E48="Apple","Fruits", E48="Orange Juice","Beverages", E48="Detergent","Household", E48="Shampoo","Personal Care", E48="Notebook","Stationery")</f>
        <v>Personal Care</v>
      </c>
      <c r="H48" s="12">
        <v>8</v>
      </c>
      <c r="I48" s="15">
        <v>10.96</v>
      </c>
      <c r="J48" s="14">
        <f t="shared" si="0"/>
        <v>87.68</v>
      </c>
    </row>
    <row r="49" spans="1:10" x14ac:dyDescent="0.35">
      <c r="A49" s="6">
        <v>48</v>
      </c>
      <c r="B49" s="4" t="s">
        <v>7</v>
      </c>
      <c r="C49" t="s">
        <v>8</v>
      </c>
      <c r="D49" s="4" t="s">
        <v>9</v>
      </c>
      <c r="E49" s="4" t="s">
        <v>15</v>
      </c>
      <c r="F49" s="4" t="s">
        <v>6</v>
      </c>
      <c r="G49" s="10" t="str" cm="1">
        <f t="array" ref="G49">_xlfn.IFS(E49="Apple","Fruits", E49="Orange Juice","Beverages", E49="Detergent","Household", E49="Shampoo","Personal Care", E49="Notebook","Stationery")</f>
        <v>Household</v>
      </c>
      <c r="H49" s="12">
        <v>20</v>
      </c>
      <c r="I49" s="15">
        <v>213.57</v>
      </c>
      <c r="J49" s="14">
        <f t="shared" si="0"/>
        <v>4271.3999999999996</v>
      </c>
    </row>
    <row r="50" spans="1:10" x14ac:dyDescent="0.35">
      <c r="A50" s="6">
        <v>49</v>
      </c>
      <c r="B50" s="4" t="s">
        <v>7</v>
      </c>
      <c r="C50" t="s">
        <v>8</v>
      </c>
      <c r="D50" s="4" t="s">
        <v>9</v>
      </c>
      <c r="E50" s="4" t="s">
        <v>15</v>
      </c>
      <c r="F50" s="16"/>
      <c r="G50" s="9" t="str" cm="1">
        <f t="array" ref="G50">_xlfn.IFS(E50="Apple","Fruits", E50="Orange Juice","Beverages", E50="Detergent","Household", E50="Shampoo","Personal Care", E50="Notebook","Stationery")</f>
        <v>Household</v>
      </c>
      <c r="H50" s="12">
        <v>2</v>
      </c>
      <c r="I50" s="15">
        <v>13.5</v>
      </c>
      <c r="J50" s="14">
        <f t="shared" si="0"/>
        <v>27</v>
      </c>
    </row>
    <row r="51" spans="1:10" x14ac:dyDescent="0.35">
      <c r="A51" s="6">
        <v>50</v>
      </c>
      <c r="B51" s="4" t="s">
        <v>2</v>
      </c>
      <c r="C51" t="s">
        <v>14</v>
      </c>
      <c r="D51" s="4" t="s">
        <v>9</v>
      </c>
      <c r="E51" s="4" t="s">
        <v>12</v>
      </c>
      <c r="F51" s="4" t="s">
        <v>11</v>
      </c>
      <c r="G51" s="10" t="str" cm="1">
        <f t="array" ref="G51">_xlfn.IFS(E51="Apple","Fruits", E51="Orange Juice","Beverages", E51="Detergent","Household", E51="Shampoo","Personal Care", E51="Notebook","Stationery")</f>
        <v>Fruits</v>
      </c>
      <c r="H51" s="12">
        <v>19</v>
      </c>
      <c r="I51" s="15">
        <v>335.45</v>
      </c>
      <c r="J51" s="14">
        <f t="shared" si="0"/>
        <v>6373.55</v>
      </c>
    </row>
    <row r="52" spans="1:10" x14ac:dyDescent="0.35">
      <c r="A52" s="6">
        <v>51</v>
      </c>
      <c r="B52" s="4" t="s">
        <v>2</v>
      </c>
      <c r="C52" t="s">
        <v>14</v>
      </c>
      <c r="D52" s="4" t="s">
        <v>9</v>
      </c>
      <c r="E52" s="4" t="s">
        <v>15</v>
      </c>
      <c r="F52" s="4" t="s">
        <v>11</v>
      </c>
      <c r="G52" s="10" t="str" cm="1">
        <f t="array" ref="G52">_xlfn.IFS(E52="Apple","Fruits", E52="Orange Juice","Beverages", E52="Detergent","Household", E52="Shampoo","Personal Care", E52="Notebook","Stationery")</f>
        <v>Household</v>
      </c>
      <c r="H52" s="12">
        <v>19</v>
      </c>
      <c r="I52" s="15">
        <v>346.02</v>
      </c>
      <c r="J52" s="14">
        <f t="shared" si="0"/>
        <v>6574.3799999999992</v>
      </c>
    </row>
    <row r="53" spans="1:10" x14ac:dyDescent="0.35">
      <c r="A53" s="6">
        <v>52</v>
      </c>
      <c r="B53" s="4" t="s">
        <v>2</v>
      </c>
      <c r="C53" t="s">
        <v>14</v>
      </c>
      <c r="D53" s="4" t="s">
        <v>4</v>
      </c>
      <c r="E53" s="4" t="s">
        <v>17</v>
      </c>
      <c r="F53" s="4" t="s">
        <v>13</v>
      </c>
      <c r="G53" s="10" t="str" cm="1">
        <f t="array" ref="G53">_xlfn.IFS(E53="Apple","Fruits", E53="Orange Juice","Beverages", E53="Detergent","Household", E53="Shampoo","Personal Care", E53="Notebook","Stationery")</f>
        <v>Beverages</v>
      </c>
      <c r="H53" s="12">
        <v>5</v>
      </c>
      <c r="I53" s="15">
        <v>59.71</v>
      </c>
      <c r="J53" s="14">
        <f t="shared" si="0"/>
        <v>298.55</v>
      </c>
    </row>
    <row r="54" spans="1:10" x14ac:dyDescent="0.35">
      <c r="A54" s="6">
        <v>53</v>
      </c>
      <c r="B54" s="4" t="s">
        <v>7</v>
      </c>
      <c r="C54" t="s">
        <v>8</v>
      </c>
      <c r="D54" s="4" t="s">
        <v>9</v>
      </c>
      <c r="E54" s="4" t="s">
        <v>17</v>
      </c>
      <c r="F54" s="4" t="s">
        <v>13</v>
      </c>
      <c r="G54" s="10" t="str" cm="1">
        <f t="array" ref="G54">_xlfn.IFS(E54="Apple","Fruits", E54="Orange Juice","Beverages", E54="Detergent","Household", E54="Shampoo","Personal Care", E54="Notebook","Stationery")</f>
        <v>Beverages</v>
      </c>
      <c r="H54" s="12">
        <v>1</v>
      </c>
      <c r="I54" s="15">
        <v>20.39</v>
      </c>
      <c r="J54" s="14">
        <f t="shared" si="0"/>
        <v>20.39</v>
      </c>
    </row>
    <row r="55" spans="1:10" x14ac:dyDescent="0.35">
      <c r="A55" s="6">
        <v>54</v>
      </c>
      <c r="B55" s="4" t="s">
        <v>2</v>
      </c>
      <c r="C55" t="s">
        <v>3</v>
      </c>
      <c r="D55" s="4" t="s">
        <v>9</v>
      </c>
      <c r="E55" s="4" t="s">
        <v>17</v>
      </c>
      <c r="F55" s="4" t="s">
        <v>13</v>
      </c>
      <c r="G55" s="10" t="str" cm="1">
        <f t="array" ref="G55">_xlfn.IFS(E55="Apple","Fruits", E55="Orange Juice","Beverages", E55="Detergent","Household", E55="Shampoo","Personal Care", E55="Notebook","Stationery")</f>
        <v>Beverages</v>
      </c>
      <c r="H55" s="12">
        <v>14</v>
      </c>
      <c r="I55" s="15">
        <v>70.11</v>
      </c>
      <c r="J55" s="14">
        <f t="shared" si="0"/>
        <v>981.54</v>
      </c>
    </row>
    <row r="56" spans="1:10" x14ac:dyDescent="0.35">
      <c r="A56" s="6">
        <v>55</v>
      </c>
      <c r="B56" s="4" t="s">
        <v>7</v>
      </c>
      <c r="C56" t="s">
        <v>8</v>
      </c>
      <c r="D56" s="4" t="s">
        <v>4</v>
      </c>
      <c r="E56" s="4" t="s">
        <v>10</v>
      </c>
      <c r="F56" s="4" t="s">
        <v>16</v>
      </c>
      <c r="G56" s="10" t="str" cm="1">
        <f t="array" ref="G56">_xlfn.IFS(E56="Apple","Fruits", E56="Orange Juice","Beverages", E56="Detergent","Household", E56="Shampoo","Personal Care", E56="Notebook","Stationery")</f>
        <v>Stationery</v>
      </c>
      <c r="H56" s="12">
        <v>13</v>
      </c>
      <c r="I56" s="15">
        <v>216.58</v>
      </c>
      <c r="J56" s="14">
        <f t="shared" si="0"/>
        <v>2815.54</v>
      </c>
    </row>
    <row r="57" spans="1:10" x14ac:dyDescent="0.35">
      <c r="A57" s="6">
        <v>56</v>
      </c>
      <c r="B57" s="4" t="s">
        <v>2</v>
      </c>
      <c r="C57" t="s">
        <v>14</v>
      </c>
      <c r="D57" s="4" t="s">
        <v>4</v>
      </c>
      <c r="E57" s="4" t="s">
        <v>5</v>
      </c>
      <c r="F57" s="4" t="s">
        <v>6</v>
      </c>
      <c r="G57" s="10" t="str" cm="1">
        <f t="array" ref="G57">_xlfn.IFS(E57="Apple","Fruits", E57="Orange Juice","Beverages", E57="Detergent","Household", E57="Shampoo","Personal Care", E57="Notebook","Stationery")</f>
        <v>Personal Care</v>
      </c>
      <c r="H57" s="12">
        <v>10</v>
      </c>
      <c r="I57" s="15">
        <v>212.5</v>
      </c>
      <c r="J57" s="14">
        <f t="shared" si="0"/>
        <v>2125</v>
      </c>
    </row>
    <row r="58" spans="1:10" x14ac:dyDescent="0.35">
      <c r="A58" s="6">
        <v>57</v>
      </c>
      <c r="B58" s="4" t="s">
        <v>2</v>
      </c>
      <c r="C58" t="s">
        <v>14</v>
      </c>
      <c r="D58" s="4" t="s">
        <v>4</v>
      </c>
      <c r="E58" s="4" t="s">
        <v>17</v>
      </c>
      <c r="F58" s="4" t="s">
        <v>18</v>
      </c>
      <c r="G58" s="10" t="str" cm="1">
        <f t="array" ref="G58">_xlfn.IFS(E58="Apple","Fruits", E58="Orange Juice","Beverages", E58="Detergent","Household", E58="Shampoo","Personal Care", E58="Notebook","Stationery")</f>
        <v>Beverages</v>
      </c>
      <c r="H58" s="12">
        <v>19</v>
      </c>
      <c r="I58" s="15">
        <v>414.94</v>
      </c>
      <c r="J58" s="14">
        <f t="shared" si="0"/>
        <v>7883.86</v>
      </c>
    </row>
    <row r="59" spans="1:10" x14ac:dyDescent="0.35">
      <c r="A59" s="6">
        <v>58</v>
      </c>
      <c r="B59" s="4" t="s">
        <v>2</v>
      </c>
      <c r="C59" t="s">
        <v>14</v>
      </c>
      <c r="D59" s="4" t="s">
        <v>9</v>
      </c>
      <c r="E59" s="4" t="s">
        <v>10</v>
      </c>
      <c r="F59" s="4" t="s">
        <v>13</v>
      </c>
      <c r="G59" s="10" t="str" cm="1">
        <f t="array" ref="G59">_xlfn.IFS(E59="Apple","Fruits", E59="Orange Juice","Beverages", E59="Detergent","Household", E59="Shampoo","Personal Care", E59="Notebook","Stationery")</f>
        <v>Stationery</v>
      </c>
      <c r="H59" s="12">
        <v>20</v>
      </c>
      <c r="I59" s="15">
        <v>427.14</v>
      </c>
      <c r="J59" s="14">
        <f t="shared" si="0"/>
        <v>8542.7999999999993</v>
      </c>
    </row>
    <row r="60" spans="1:10" x14ac:dyDescent="0.35">
      <c r="A60" s="6">
        <v>59</v>
      </c>
      <c r="B60" s="4" t="s">
        <v>2</v>
      </c>
      <c r="C60" t="s">
        <v>14</v>
      </c>
      <c r="D60" s="4" t="s">
        <v>4</v>
      </c>
      <c r="E60" s="4" t="s">
        <v>15</v>
      </c>
      <c r="F60" s="4" t="s">
        <v>11</v>
      </c>
      <c r="G60" s="10" t="str" cm="1">
        <f t="array" ref="G60">_xlfn.IFS(E60="Apple","Fruits", E60="Orange Juice","Beverages", E60="Detergent","Household", E60="Shampoo","Personal Care", E60="Notebook","Stationery")</f>
        <v>Household</v>
      </c>
      <c r="H60" s="12">
        <v>20</v>
      </c>
      <c r="I60" s="15">
        <v>331.27</v>
      </c>
      <c r="J60" s="14">
        <f t="shared" si="0"/>
        <v>6625.4</v>
      </c>
    </row>
    <row r="61" spans="1:10" x14ac:dyDescent="0.35">
      <c r="A61" s="6">
        <v>60</v>
      </c>
      <c r="B61" s="4" t="s">
        <v>2</v>
      </c>
      <c r="C61" t="s">
        <v>14</v>
      </c>
      <c r="D61" s="4" t="s">
        <v>4</v>
      </c>
      <c r="E61" s="4" t="s">
        <v>10</v>
      </c>
      <c r="F61" s="4" t="s">
        <v>11</v>
      </c>
      <c r="G61" s="10" t="str" cm="1">
        <f t="array" ref="G61">_xlfn.IFS(E61="Apple","Fruits", E61="Orange Juice","Beverages", E61="Detergent","Household", E61="Shampoo","Personal Care", E61="Notebook","Stationery")</f>
        <v>Stationery</v>
      </c>
      <c r="H61" s="12">
        <v>4</v>
      </c>
      <c r="I61" s="15">
        <v>59.88</v>
      </c>
      <c r="J61" s="14">
        <f t="shared" si="0"/>
        <v>239.52</v>
      </c>
    </row>
    <row r="62" spans="1:10" x14ac:dyDescent="0.35">
      <c r="A62" s="6">
        <v>61</v>
      </c>
      <c r="B62" s="4" t="s">
        <v>2</v>
      </c>
      <c r="C62" t="s">
        <v>3</v>
      </c>
      <c r="D62" s="4" t="s">
        <v>4</v>
      </c>
      <c r="E62" s="4" t="s">
        <v>15</v>
      </c>
      <c r="F62" s="4" t="s">
        <v>16</v>
      </c>
      <c r="G62" s="10" t="str" cm="1">
        <f t="array" ref="G62">_xlfn.IFS(E62="Apple","Fruits", E62="Orange Juice","Beverages", E62="Detergent","Household", E62="Shampoo","Personal Care", E62="Notebook","Stationery")</f>
        <v>Household</v>
      </c>
      <c r="H62" s="13">
        <v>11</v>
      </c>
      <c r="I62" s="15">
        <v>20.09</v>
      </c>
      <c r="J62" s="14">
        <f t="shared" si="0"/>
        <v>220.99</v>
      </c>
    </row>
    <row r="63" spans="1:10" x14ac:dyDescent="0.35">
      <c r="A63" s="6">
        <v>62</v>
      </c>
      <c r="B63" s="4" t="s">
        <v>2</v>
      </c>
      <c r="C63" t="s">
        <v>14</v>
      </c>
      <c r="D63" s="4" t="s">
        <v>4</v>
      </c>
      <c r="E63" s="4" t="s">
        <v>17</v>
      </c>
      <c r="F63" s="4" t="s">
        <v>18</v>
      </c>
      <c r="G63" s="10" t="str" cm="1">
        <f t="array" ref="G63">_xlfn.IFS(E63="Apple","Fruits", E63="Orange Juice","Beverages", E63="Detergent","Household", E63="Shampoo","Personal Care", E63="Notebook","Stationery")</f>
        <v>Beverages</v>
      </c>
      <c r="H63" s="12">
        <v>14</v>
      </c>
      <c r="I63" s="15">
        <v>287.47000000000003</v>
      </c>
      <c r="J63" s="14">
        <f t="shared" si="0"/>
        <v>4024.5800000000004</v>
      </c>
    </row>
    <row r="64" spans="1:10" x14ac:dyDescent="0.35">
      <c r="A64" s="6">
        <v>63</v>
      </c>
      <c r="B64" s="4" t="s">
        <v>2</v>
      </c>
      <c r="C64" t="s">
        <v>3</v>
      </c>
      <c r="D64" s="4" t="s">
        <v>4</v>
      </c>
      <c r="E64" s="4" t="s">
        <v>10</v>
      </c>
      <c r="F64" s="4" t="s">
        <v>11</v>
      </c>
      <c r="G64" s="10" t="str" cm="1">
        <f t="array" ref="G64">_xlfn.IFS(E64="Apple","Fruits", E64="Orange Juice","Beverages", E64="Detergent","Household", E64="Shampoo","Personal Care", E64="Notebook","Stationery")</f>
        <v>Stationery</v>
      </c>
      <c r="H64" s="12">
        <v>19</v>
      </c>
      <c r="I64" s="15">
        <v>258.8</v>
      </c>
      <c r="J64" s="14">
        <f t="shared" si="0"/>
        <v>4917.2</v>
      </c>
    </row>
    <row r="65" spans="1:10" x14ac:dyDescent="0.35">
      <c r="A65" s="6">
        <v>64</v>
      </c>
      <c r="B65" s="4" t="s">
        <v>2</v>
      </c>
      <c r="C65" t="s">
        <v>14</v>
      </c>
      <c r="D65" s="4" t="s">
        <v>4</v>
      </c>
      <c r="E65" s="4" t="s">
        <v>15</v>
      </c>
      <c r="F65" s="4" t="s">
        <v>16</v>
      </c>
      <c r="G65" s="10" t="str" cm="1">
        <f t="array" ref="G65">_xlfn.IFS(E65="Apple","Fruits", E65="Orange Juice","Beverages", E65="Detergent","Household", E65="Shampoo","Personal Care", E65="Notebook","Stationery")</f>
        <v>Household</v>
      </c>
      <c r="H65" s="12">
        <v>10</v>
      </c>
      <c r="I65" s="15">
        <v>121.23</v>
      </c>
      <c r="J65" s="14">
        <f t="shared" si="0"/>
        <v>1212.3</v>
      </c>
    </row>
    <row r="66" spans="1:10" x14ac:dyDescent="0.35">
      <c r="A66" s="6">
        <v>65</v>
      </c>
      <c r="B66" s="4" t="s">
        <v>2</v>
      </c>
      <c r="C66" t="s">
        <v>3</v>
      </c>
      <c r="D66" s="4" t="s">
        <v>9</v>
      </c>
      <c r="E66" s="4" t="s">
        <v>17</v>
      </c>
      <c r="F66" s="4" t="s">
        <v>16</v>
      </c>
      <c r="G66" s="10" t="str" cm="1">
        <f t="array" ref="G66">_xlfn.IFS(E66="Apple","Fruits", E66="Orange Juice","Beverages", E66="Detergent","Household", E66="Shampoo","Personal Care", E66="Notebook","Stationery")</f>
        <v>Beverages</v>
      </c>
      <c r="H66" s="12">
        <v>12</v>
      </c>
      <c r="I66" s="15">
        <v>112.74</v>
      </c>
      <c r="J66" s="14">
        <f t="shared" ref="J66:J129" si="1">H66*I66</f>
        <v>1352.8799999999999</v>
      </c>
    </row>
    <row r="67" spans="1:10" x14ac:dyDescent="0.35">
      <c r="A67" s="6">
        <v>66</v>
      </c>
      <c r="B67" s="4" t="s">
        <v>2</v>
      </c>
      <c r="C67" t="s">
        <v>3</v>
      </c>
      <c r="D67" s="4" t="s">
        <v>4</v>
      </c>
      <c r="E67" s="4" t="s">
        <v>10</v>
      </c>
      <c r="F67" s="4" t="s">
        <v>6</v>
      </c>
      <c r="G67" s="10" t="str" cm="1">
        <f t="array" ref="G67">_xlfn.IFS(E67="Apple","Fruits", E67="Orange Juice","Beverages", E67="Detergent","Household", E67="Shampoo","Personal Care", E67="Notebook","Stationery")</f>
        <v>Stationery</v>
      </c>
      <c r="H67" s="12">
        <v>2</v>
      </c>
      <c r="I67" s="15">
        <v>21.94</v>
      </c>
      <c r="J67" s="14">
        <f t="shared" si="1"/>
        <v>43.88</v>
      </c>
    </row>
    <row r="68" spans="1:10" x14ac:dyDescent="0.35">
      <c r="A68" s="6">
        <v>67</v>
      </c>
      <c r="B68" s="4" t="s">
        <v>7</v>
      </c>
      <c r="C68" t="s">
        <v>8</v>
      </c>
      <c r="D68" s="4" t="s">
        <v>4</v>
      </c>
      <c r="E68" s="4" t="s">
        <v>10</v>
      </c>
      <c r="F68" s="4" t="s">
        <v>11</v>
      </c>
      <c r="G68" s="10" t="str" cm="1">
        <f t="array" ref="G68">_xlfn.IFS(E68="Apple","Fruits", E68="Orange Juice","Beverages", E68="Detergent","Household", E68="Shampoo","Personal Care", E68="Notebook","Stationery")</f>
        <v>Stationery</v>
      </c>
      <c r="H68" s="12">
        <v>8</v>
      </c>
      <c r="I68" s="15">
        <v>89.62</v>
      </c>
      <c r="J68" s="14">
        <f t="shared" si="1"/>
        <v>716.96</v>
      </c>
    </row>
    <row r="69" spans="1:10" x14ac:dyDescent="0.35">
      <c r="A69" s="6">
        <v>68</v>
      </c>
      <c r="B69" s="4" t="s">
        <v>2</v>
      </c>
      <c r="C69" t="s">
        <v>3</v>
      </c>
      <c r="D69" s="4" t="s">
        <v>9</v>
      </c>
      <c r="E69" s="4" t="s">
        <v>15</v>
      </c>
      <c r="F69" s="16"/>
      <c r="G69" s="9" t="str" cm="1">
        <f t="array" ref="G69">_xlfn.IFS(E69="Apple","Fruits", E69="Orange Juice","Beverages", E69="Detergent","Household", E69="Shampoo","Personal Care", E69="Notebook","Stationery")</f>
        <v>Household</v>
      </c>
      <c r="H69" s="12">
        <v>1</v>
      </c>
      <c r="I69" s="15">
        <v>7.22</v>
      </c>
      <c r="J69" s="14">
        <f t="shared" si="1"/>
        <v>7.22</v>
      </c>
    </row>
    <row r="70" spans="1:10" x14ac:dyDescent="0.35">
      <c r="A70" s="6">
        <v>69</v>
      </c>
      <c r="B70" s="4" t="s">
        <v>2</v>
      </c>
      <c r="C70" t="s">
        <v>14</v>
      </c>
      <c r="D70" s="4" t="s">
        <v>4</v>
      </c>
      <c r="E70" s="4" t="s">
        <v>12</v>
      </c>
      <c r="F70" s="4" t="s">
        <v>6</v>
      </c>
      <c r="G70" s="10" t="str" cm="1">
        <f t="array" ref="G70">_xlfn.IFS(E70="Apple","Fruits", E70="Orange Juice","Beverages", E70="Detergent","Household", E70="Shampoo","Personal Care", E70="Notebook","Stationery")</f>
        <v>Fruits</v>
      </c>
      <c r="H70" s="12">
        <v>16</v>
      </c>
      <c r="I70" s="15">
        <v>20.03</v>
      </c>
      <c r="J70" s="14">
        <f t="shared" si="1"/>
        <v>320.48</v>
      </c>
    </row>
    <row r="71" spans="1:10" x14ac:dyDescent="0.35">
      <c r="A71" s="6">
        <v>70</v>
      </c>
      <c r="B71" s="4" t="s">
        <v>7</v>
      </c>
      <c r="C71" t="s">
        <v>8</v>
      </c>
      <c r="D71" s="4" t="s">
        <v>9</v>
      </c>
      <c r="E71" s="4" t="s">
        <v>5</v>
      </c>
      <c r="F71" s="4" t="s">
        <v>11</v>
      </c>
      <c r="G71" s="10" t="str" cm="1">
        <f t="array" ref="G71">_xlfn.IFS(E71="Apple","Fruits", E71="Orange Juice","Beverages", E71="Detergent","Household", E71="Shampoo","Personal Care", E71="Notebook","Stationery")</f>
        <v>Personal Care</v>
      </c>
      <c r="H71" s="12">
        <v>14</v>
      </c>
      <c r="I71" s="15">
        <v>41.49</v>
      </c>
      <c r="J71" s="14">
        <f t="shared" si="1"/>
        <v>580.86</v>
      </c>
    </row>
    <row r="72" spans="1:10" x14ac:dyDescent="0.35">
      <c r="A72" s="6">
        <v>71</v>
      </c>
      <c r="B72" s="4" t="s">
        <v>2</v>
      </c>
      <c r="C72" t="s">
        <v>14</v>
      </c>
      <c r="D72" s="4" t="s">
        <v>9</v>
      </c>
      <c r="E72" s="4" t="s">
        <v>17</v>
      </c>
      <c r="F72" s="4" t="s">
        <v>11</v>
      </c>
      <c r="G72" s="10" t="str" cm="1">
        <f t="array" ref="G72">_xlfn.IFS(E72="Apple","Fruits", E72="Orange Juice","Beverages", E72="Detergent","Household", E72="Shampoo","Personal Care", E72="Notebook","Stationery")</f>
        <v>Beverages</v>
      </c>
      <c r="H72" s="12">
        <v>2</v>
      </c>
      <c r="I72" s="15">
        <v>27.46</v>
      </c>
      <c r="J72" s="14">
        <f t="shared" si="1"/>
        <v>54.92</v>
      </c>
    </row>
    <row r="73" spans="1:10" x14ac:dyDescent="0.35">
      <c r="A73" s="6">
        <v>72</v>
      </c>
      <c r="B73" s="4" t="s">
        <v>2</v>
      </c>
      <c r="C73" t="s">
        <v>3</v>
      </c>
      <c r="D73" s="4" t="s">
        <v>9</v>
      </c>
      <c r="E73" s="4" t="s">
        <v>12</v>
      </c>
      <c r="F73" s="4" t="s">
        <v>13</v>
      </c>
      <c r="G73" s="10" t="str" cm="1">
        <f t="array" ref="G73">_xlfn.IFS(E73="Apple","Fruits", E73="Orange Juice","Beverages", E73="Detergent","Household", E73="Shampoo","Personal Care", E73="Notebook","Stationery")</f>
        <v>Fruits</v>
      </c>
      <c r="H73" s="12">
        <v>11</v>
      </c>
      <c r="I73" s="15">
        <v>167.25</v>
      </c>
      <c r="J73" s="14">
        <f t="shared" si="1"/>
        <v>1839.75</v>
      </c>
    </row>
    <row r="74" spans="1:10" x14ac:dyDescent="0.35">
      <c r="A74" s="6">
        <v>73</v>
      </c>
      <c r="B74" s="4" t="s">
        <v>2</v>
      </c>
      <c r="C74" t="s">
        <v>14</v>
      </c>
      <c r="D74" s="4" t="s">
        <v>9</v>
      </c>
      <c r="E74" s="4" t="s">
        <v>15</v>
      </c>
      <c r="F74" s="4" t="s">
        <v>13</v>
      </c>
      <c r="G74" s="10" t="str" cm="1">
        <f t="array" ref="G74">_xlfn.IFS(E74="Apple","Fruits", E74="Orange Juice","Beverages", E74="Detergent","Household", E74="Shampoo","Personal Care", E74="Notebook","Stationery")</f>
        <v>Household</v>
      </c>
      <c r="H74" s="12">
        <v>20</v>
      </c>
      <c r="I74" s="15">
        <v>155.58000000000001</v>
      </c>
      <c r="J74" s="14">
        <f t="shared" si="1"/>
        <v>3111.6000000000004</v>
      </c>
    </row>
    <row r="75" spans="1:10" x14ac:dyDescent="0.35">
      <c r="A75" s="6">
        <v>74</v>
      </c>
      <c r="B75" s="4" t="s">
        <v>2</v>
      </c>
      <c r="C75" t="s">
        <v>3</v>
      </c>
      <c r="D75" s="4" t="s">
        <v>9</v>
      </c>
      <c r="E75" s="4" t="s">
        <v>5</v>
      </c>
      <c r="F75" s="4" t="s">
        <v>11</v>
      </c>
      <c r="G75" s="10" t="str" cm="1">
        <f t="array" ref="G75">_xlfn.IFS(E75="Apple","Fruits", E75="Orange Juice","Beverages", E75="Detergent","Household", E75="Shampoo","Personal Care", E75="Notebook","Stationery")</f>
        <v>Personal Care</v>
      </c>
      <c r="H75" s="12">
        <v>2</v>
      </c>
      <c r="I75" s="15">
        <v>43.38</v>
      </c>
      <c r="J75" s="14">
        <f t="shared" si="1"/>
        <v>86.76</v>
      </c>
    </row>
    <row r="76" spans="1:10" x14ac:dyDescent="0.35">
      <c r="A76" s="6">
        <v>75</v>
      </c>
      <c r="B76" s="4" t="s">
        <v>2</v>
      </c>
      <c r="C76" t="s">
        <v>3</v>
      </c>
      <c r="D76" s="4" t="s">
        <v>9</v>
      </c>
      <c r="E76" s="4" t="s">
        <v>17</v>
      </c>
      <c r="F76" s="4" t="s">
        <v>13</v>
      </c>
      <c r="G76" s="10" t="str" cm="1">
        <f t="array" ref="G76">_xlfn.IFS(E76="Apple","Fruits", E76="Orange Juice","Beverages", E76="Detergent","Household", E76="Shampoo","Personal Care", E76="Notebook","Stationery")</f>
        <v>Beverages</v>
      </c>
      <c r="H76" s="12">
        <v>11</v>
      </c>
      <c r="I76" s="15">
        <v>101.46</v>
      </c>
      <c r="J76" s="14">
        <f t="shared" si="1"/>
        <v>1116.06</v>
      </c>
    </row>
    <row r="77" spans="1:10" x14ac:dyDescent="0.35">
      <c r="A77" s="6">
        <v>76</v>
      </c>
      <c r="B77" s="4" t="s">
        <v>2</v>
      </c>
      <c r="C77" t="s">
        <v>3</v>
      </c>
      <c r="D77" s="4" t="s">
        <v>9</v>
      </c>
      <c r="E77" s="4" t="s">
        <v>5</v>
      </c>
      <c r="F77" s="4" t="s">
        <v>6</v>
      </c>
      <c r="G77" s="10" t="str" cm="1">
        <f t="array" ref="G77">_xlfn.IFS(E77="Apple","Fruits", E77="Orange Juice","Beverages", E77="Detergent","Household", E77="Shampoo","Personal Care", E77="Notebook","Stationery")</f>
        <v>Personal Care</v>
      </c>
      <c r="H77" s="12">
        <v>8</v>
      </c>
      <c r="I77" s="15">
        <v>163.84</v>
      </c>
      <c r="J77" s="14">
        <f t="shared" si="1"/>
        <v>1310.72</v>
      </c>
    </row>
    <row r="78" spans="1:10" x14ac:dyDescent="0.35">
      <c r="A78" s="6">
        <v>77</v>
      </c>
      <c r="B78" s="4" t="s">
        <v>7</v>
      </c>
      <c r="C78" t="s">
        <v>8</v>
      </c>
      <c r="D78" s="4" t="s">
        <v>9</v>
      </c>
      <c r="E78" s="4" t="s">
        <v>17</v>
      </c>
      <c r="F78" s="4" t="s">
        <v>11</v>
      </c>
      <c r="G78" s="10" t="str" cm="1">
        <f t="array" ref="G78">_xlfn.IFS(E78="Apple","Fruits", E78="Orange Juice","Beverages", E78="Detergent","Household", E78="Shampoo","Personal Care", E78="Notebook","Stationery")</f>
        <v>Beverages</v>
      </c>
      <c r="H78" s="12">
        <v>10</v>
      </c>
      <c r="I78" s="15">
        <v>108.71</v>
      </c>
      <c r="J78" s="14">
        <f t="shared" si="1"/>
        <v>1087.0999999999999</v>
      </c>
    </row>
    <row r="79" spans="1:10" x14ac:dyDescent="0.35">
      <c r="A79" s="6">
        <v>78</v>
      </c>
      <c r="B79" s="4" t="s">
        <v>2</v>
      </c>
      <c r="C79" t="s">
        <v>14</v>
      </c>
      <c r="D79" s="4" t="s">
        <v>9</v>
      </c>
      <c r="E79" s="4" t="s">
        <v>12</v>
      </c>
      <c r="F79" s="4" t="s">
        <v>18</v>
      </c>
      <c r="G79" s="10" t="str" cm="1">
        <f t="array" ref="G79">_xlfn.IFS(E79="Apple","Fruits", E79="Orange Juice","Beverages", E79="Detergent","Household", E79="Shampoo","Personal Care", E79="Notebook","Stationery")</f>
        <v>Fruits</v>
      </c>
      <c r="H79" s="12">
        <v>20</v>
      </c>
      <c r="I79" s="15">
        <v>144.02000000000001</v>
      </c>
      <c r="J79" s="14">
        <f t="shared" si="1"/>
        <v>2880.4</v>
      </c>
    </row>
    <row r="80" spans="1:10" x14ac:dyDescent="0.35">
      <c r="A80" s="6">
        <v>79</v>
      </c>
      <c r="B80" s="4" t="s">
        <v>7</v>
      </c>
      <c r="C80" t="s">
        <v>8</v>
      </c>
      <c r="D80" s="4" t="s">
        <v>9</v>
      </c>
      <c r="E80" s="4" t="s">
        <v>10</v>
      </c>
      <c r="F80" s="4" t="s">
        <v>18</v>
      </c>
      <c r="G80" s="10" t="str" cm="1">
        <f t="array" ref="G80">_xlfn.IFS(E80="Apple","Fruits", E80="Orange Juice","Beverages", E80="Detergent","Household", E80="Shampoo","Personal Care", E80="Notebook","Stationery")</f>
        <v>Stationery</v>
      </c>
      <c r="H80" s="12">
        <v>11</v>
      </c>
      <c r="I80" s="15">
        <v>166.9</v>
      </c>
      <c r="J80" s="14">
        <f t="shared" si="1"/>
        <v>1835.9</v>
      </c>
    </row>
    <row r="81" spans="1:10" x14ac:dyDescent="0.35">
      <c r="A81" s="6">
        <v>80</v>
      </c>
      <c r="B81" s="4" t="s">
        <v>2</v>
      </c>
      <c r="C81" t="s">
        <v>3</v>
      </c>
      <c r="D81" s="4" t="s">
        <v>4</v>
      </c>
      <c r="E81" s="4" t="s">
        <v>10</v>
      </c>
      <c r="F81" s="4" t="s">
        <v>11</v>
      </c>
      <c r="G81" s="10" t="str" cm="1">
        <f t="array" ref="G81">_xlfn.IFS(E81="Apple","Fruits", E81="Orange Juice","Beverages", E81="Detergent","Household", E81="Shampoo","Personal Care", E81="Notebook","Stationery")</f>
        <v>Stationery</v>
      </c>
      <c r="H81" s="12">
        <v>16</v>
      </c>
      <c r="I81" s="15">
        <v>284.19</v>
      </c>
      <c r="J81" s="14">
        <f t="shared" si="1"/>
        <v>4547.04</v>
      </c>
    </row>
    <row r="82" spans="1:10" x14ac:dyDescent="0.35">
      <c r="A82" s="6">
        <v>81</v>
      </c>
      <c r="B82" s="4" t="s">
        <v>2</v>
      </c>
      <c r="C82" t="s">
        <v>14</v>
      </c>
      <c r="D82" s="4" t="s">
        <v>9</v>
      </c>
      <c r="E82" s="4" t="s">
        <v>17</v>
      </c>
      <c r="F82" s="4" t="s">
        <v>16</v>
      </c>
      <c r="G82" s="10" t="str" cm="1">
        <f t="array" ref="G82">_xlfn.IFS(E82="Apple","Fruits", E82="Orange Juice","Beverages", E82="Detergent","Household", E82="Shampoo","Personal Care", E82="Notebook","Stationery")</f>
        <v>Beverages</v>
      </c>
      <c r="H82" s="12">
        <v>20</v>
      </c>
      <c r="I82" s="15">
        <v>285.89999999999998</v>
      </c>
      <c r="J82" s="14">
        <f t="shared" si="1"/>
        <v>5718</v>
      </c>
    </row>
    <row r="83" spans="1:10" x14ac:dyDescent="0.35">
      <c r="A83" s="6">
        <v>82</v>
      </c>
      <c r="B83" s="4" t="s">
        <v>2</v>
      </c>
      <c r="C83" t="s">
        <v>14</v>
      </c>
      <c r="D83" s="4" t="s">
        <v>4</v>
      </c>
      <c r="E83" s="4" t="s">
        <v>17</v>
      </c>
      <c r="F83" s="4" t="s">
        <v>13</v>
      </c>
      <c r="G83" s="10" t="str" cm="1">
        <f t="array" ref="G83">_xlfn.IFS(E83="Apple","Fruits", E83="Orange Juice","Beverages", E83="Detergent","Household", E83="Shampoo","Personal Care", E83="Notebook","Stationery")</f>
        <v>Beverages</v>
      </c>
      <c r="H83" s="12">
        <v>15</v>
      </c>
      <c r="I83" s="15">
        <v>225.34</v>
      </c>
      <c r="J83" s="14">
        <f t="shared" si="1"/>
        <v>3380.1</v>
      </c>
    </row>
    <row r="84" spans="1:10" x14ac:dyDescent="0.35">
      <c r="A84" s="6">
        <v>83</v>
      </c>
      <c r="B84" s="4" t="s">
        <v>7</v>
      </c>
      <c r="C84" t="s">
        <v>8</v>
      </c>
      <c r="D84" s="4" t="s">
        <v>9</v>
      </c>
      <c r="E84" s="4" t="s">
        <v>17</v>
      </c>
      <c r="F84" s="4" t="s">
        <v>16</v>
      </c>
      <c r="G84" s="10" t="str" cm="1">
        <f t="array" ref="G84">_xlfn.IFS(E84="Apple","Fruits", E84="Orange Juice","Beverages", E84="Detergent","Household", E84="Shampoo","Personal Care", E84="Notebook","Stationery")</f>
        <v>Beverages</v>
      </c>
      <c r="H84" s="12">
        <v>8</v>
      </c>
      <c r="I84" s="15">
        <v>118.9</v>
      </c>
      <c r="J84" s="14">
        <f t="shared" si="1"/>
        <v>951.2</v>
      </c>
    </row>
    <row r="85" spans="1:10" x14ac:dyDescent="0.35">
      <c r="A85" s="6">
        <v>84</v>
      </c>
      <c r="B85" s="4" t="s">
        <v>2</v>
      </c>
      <c r="C85" t="s">
        <v>3</v>
      </c>
      <c r="D85" s="4" t="s">
        <v>4</v>
      </c>
      <c r="E85" s="4" t="s">
        <v>10</v>
      </c>
      <c r="F85" s="4" t="s">
        <v>18</v>
      </c>
      <c r="G85" s="10" t="str" cm="1">
        <f t="array" ref="G85">_xlfn.IFS(E85="Apple","Fruits", E85="Orange Juice","Beverages", E85="Detergent","Household", E85="Shampoo","Personal Care", E85="Notebook","Stationery")</f>
        <v>Stationery</v>
      </c>
      <c r="H85" s="12">
        <v>10</v>
      </c>
      <c r="I85" s="15">
        <v>187.89</v>
      </c>
      <c r="J85" s="14">
        <f t="shared" si="1"/>
        <v>1878.8999999999999</v>
      </c>
    </row>
    <row r="86" spans="1:10" x14ac:dyDescent="0.35">
      <c r="A86" s="6">
        <v>85</v>
      </c>
      <c r="B86" s="4" t="s">
        <v>2</v>
      </c>
      <c r="C86" t="s">
        <v>14</v>
      </c>
      <c r="D86" s="4" t="s">
        <v>9</v>
      </c>
      <c r="E86" s="4" t="s">
        <v>15</v>
      </c>
      <c r="F86" s="4" t="s">
        <v>16</v>
      </c>
      <c r="G86" s="10" t="str" cm="1">
        <f t="array" ref="G86">_xlfn.IFS(E86="Apple","Fruits", E86="Orange Juice","Beverages", E86="Detergent","Household", E86="Shampoo","Personal Care", E86="Notebook","Stationery")</f>
        <v>Household</v>
      </c>
      <c r="H86" s="12">
        <v>13</v>
      </c>
      <c r="I86" s="15">
        <v>52.72</v>
      </c>
      <c r="J86" s="14">
        <f t="shared" si="1"/>
        <v>685.36</v>
      </c>
    </row>
    <row r="87" spans="1:10" x14ac:dyDescent="0.35">
      <c r="A87" s="6">
        <v>86</v>
      </c>
      <c r="B87" s="4" t="s">
        <v>7</v>
      </c>
      <c r="C87" t="s">
        <v>8</v>
      </c>
      <c r="D87" s="4" t="s">
        <v>9</v>
      </c>
      <c r="E87" s="4" t="s">
        <v>17</v>
      </c>
      <c r="F87" s="4" t="s">
        <v>18</v>
      </c>
      <c r="G87" s="10" t="str" cm="1">
        <f t="array" ref="G87">_xlfn.IFS(E87="Apple","Fruits", E87="Orange Juice","Beverages", E87="Detergent","Household", E87="Shampoo","Personal Care", E87="Notebook","Stationery")</f>
        <v>Beverages</v>
      </c>
      <c r="H87" s="12">
        <v>10</v>
      </c>
      <c r="I87" s="15">
        <v>53.5</v>
      </c>
      <c r="J87" s="14">
        <f t="shared" si="1"/>
        <v>535</v>
      </c>
    </row>
    <row r="88" spans="1:10" x14ac:dyDescent="0.35">
      <c r="A88" s="6">
        <v>87</v>
      </c>
      <c r="B88" s="4" t="s">
        <v>2</v>
      </c>
      <c r="C88" t="s">
        <v>14</v>
      </c>
      <c r="D88" s="4" t="s">
        <v>4</v>
      </c>
      <c r="E88" s="4" t="s">
        <v>5</v>
      </c>
      <c r="F88" s="16"/>
      <c r="G88" s="9" t="str" cm="1">
        <f t="array" ref="G88">_xlfn.IFS(E88="Apple","Fruits", E88="Orange Juice","Beverages", E88="Detergent","Household", E88="Shampoo","Personal Care", E88="Notebook","Stationery")</f>
        <v>Personal Care</v>
      </c>
      <c r="H88" s="12">
        <v>2</v>
      </c>
      <c r="I88" s="15">
        <v>5.86</v>
      </c>
      <c r="J88" s="14">
        <f t="shared" si="1"/>
        <v>11.72</v>
      </c>
    </row>
    <row r="89" spans="1:10" x14ac:dyDescent="0.35">
      <c r="A89" s="6">
        <v>88</v>
      </c>
      <c r="B89" s="4" t="s">
        <v>2</v>
      </c>
      <c r="C89" t="s">
        <v>3</v>
      </c>
      <c r="D89" s="4" t="s">
        <v>9</v>
      </c>
      <c r="E89" s="4" t="s">
        <v>17</v>
      </c>
      <c r="F89" s="4" t="s">
        <v>11</v>
      </c>
      <c r="G89" s="10" t="str" cm="1">
        <f t="array" ref="G89">_xlfn.IFS(E89="Apple","Fruits", E89="Orange Juice","Beverages", E89="Detergent","Household", E89="Shampoo","Personal Care", E89="Notebook","Stationery")</f>
        <v>Beverages</v>
      </c>
      <c r="H89" s="12">
        <v>8</v>
      </c>
      <c r="I89" s="15">
        <v>118.73</v>
      </c>
      <c r="J89" s="14">
        <f t="shared" si="1"/>
        <v>949.84</v>
      </c>
    </row>
    <row r="90" spans="1:10" x14ac:dyDescent="0.35">
      <c r="A90" s="6">
        <v>89</v>
      </c>
      <c r="B90" s="4" t="s">
        <v>2</v>
      </c>
      <c r="C90" t="s">
        <v>14</v>
      </c>
      <c r="D90" s="4" t="s">
        <v>9</v>
      </c>
      <c r="E90" s="4" t="s">
        <v>15</v>
      </c>
      <c r="F90" s="4" t="s">
        <v>18</v>
      </c>
      <c r="G90" s="10" t="str" cm="1">
        <f t="array" ref="G90">_xlfn.IFS(E90="Apple","Fruits", E90="Orange Juice","Beverages", E90="Detergent","Household", E90="Shampoo","Personal Care", E90="Notebook","Stationery")</f>
        <v>Household</v>
      </c>
      <c r="H90" s="12">
        <v>2</v>
      </c>
      <c r="I90" s="15">
        <v>41.97</v>
      </c>
      <c r="J90" s="14">
        <f t="shared" si="1"/>
        <v>83.94</v>
      </c>
    </row>
    <row r="91" spans="1:10" x14ac:dyDescent="0.35">
      <c r="A91" s="6">
        <v>90</v>
      </c>
      <c r="B91" s="4" t="s">
        <v>7</v>
      </c>
      <c r="C91" t="s">
        <v>8</v>
      </c>
      <c r="D91" s="4" t="s">
        <v>9</v>
      </c>
      <c r="E91" s="4" t="s">
        <v>10</v>
      </c>
      <c r="F91" s="4" t="s">
        <v>16</v>
      </c>
      <c r="G91" s="10" t="str" cm="1">
        <f t="array" ref="G91">_xlfn.IFS(E91="Apple","Fruits", E91="Orange Juice","Beverages", E91="Detergent","Household", E91="Shampoo","Personal Care", E91="Notebook","Stationery")</f>
        <v>Stationery</v>
      </c>
      <c r="H91" s="12">
        <v>10</v>
      </c>
      <c r="I91" s="15">
        <v>114.6</v>
      </c>
      <c r="J91" s="14">
        <f t="shared" si="1"/>
        <v>1146</v>
      </c>
    </row>
    <row r="92" spans="1:10" x14ac:dyDescent="0.35">
      <c r="A92" s="6">
        <v>91</v>
      </c>
      <c r="B92" s="4" t="s">
        <v>2</v>
      </c>
      <c r="C92" t="s">
        <v>14</v>
      </c>
      <c r="D92" s="4" t="s">
        <v>4</v>
      </c>
      <c r="E92" s="4" t="s">
        <v>17</v>
      </c>
      <c r="F92" s="4" t="s">
        <v>16</v>
      </c>
      <c r="G92" s="10" t="str" cm="1">
        <f t="array" ref="G92">_xlfn.IFS(E92="Apple","Fruits", E92="Orange Juice","Beverages", E92="Detergent","Household", E92="Shampoo","Personal Care", E92="Notebook","Stationery")</f>
        <v>Beverages</v>
      </c>
      <c r="H92" s="12">
        <v>3</v>
      </c>
      <c r="I92" s="15">
        <v>59.61</v>
      </c>
      <c r="J92" s="14">
        <f t="shared" si="1"/>
        <v>178.82999999999998</v>
      </c>
    </row>
    <row r="93" spans="1:10" x14ac:dyDescent="0.35">
      <c r="A93" s="6">
        <v>92</v>
      </c>
      <c r="B93" s="4" t="s">
        <v>7</v>
      </c>
      <c r="C93" t="s">
        <v>8</v>
      </c>
      <c r="D93" s="4" t="s">
        <v>4</v>
      </c>
      <c r="E93" s="4" t="s">
        <v>10</v>
      </c>
      <c r="F93" s="4" t="s">
        <v>6</v>
      </c>
      <c r="G93" s="10" t="str" cm="1">
        <f t="array" ref="G93">_xlfn.IFS(E93="Apple","Fruits", E93="Orange Juice","Beverages", E93="Detergent","Household", E93="Shampoo","Personal Care", E93="Notebook","Stationery")</f>
        <v>Stationery</v>
      </c>
      <c r="H93" s="12">
        <v>2</v>
      </c>
      <c r="I93" s="15">
        <v>40.869999999999997</v>
      </c>
      <c r="J93" s="14">
        <f t="shared" si="1"/>
        <v>81.739999999999995</v>
      </c>
    </row>
    <row r="94" spans="1:10" x14ac:dyDescent="0.35">
      <c r="A94" s="6">
        <v>93</v>
      </c>
      <c r="B94" s="4" t="s">
        <v>2</v>
      </c>
      <c r="C94" t="s">
        <v>3</v>
      </c>
      <c r="D94" s="4" t="s">
        <v>4</v>
      </c>
      <c r="E94" s="4" t="s">
        <v>12</v>
      </c>
      <c r="F94" s="4" t="s">
        <v>11</v>
      </c>
      <c r="G94" s="10" t="str" cm="1">
        <f t="array" ref="G94">_xlfn.IFS(E94="Apple","Fruits", E94="Orange Juice","Beverages", E94="Detergent","Household", E94="Shampoo","Personal Care", E94="Notebook","Stationery")</f>
        <v>Fruits</v>
      </c>
      <c r="H94" s="12">
        <v>12</v>
      </c>
      <c r="I94" s="15">
        <v>128.79</v>
      </c>
      <c r="J94" s="14">
        <f t="shared" si="1"/>
        <v>1545.48</v>
      </c>
    </row>
    <row r="95" spans="1:10" x14ac:dyDescent="0.35">
      <c r="A95" s="6">
        <v>94</v>
      </c>
      <c r="B95" s="4" t="s">
        <v>7</v>
      </c>
      <c r="C95" t="s">
        <v>8</v>
      </c>
      <c r="D95" s="4" t="s">
        <v>4</v>
      </c>
      <c r="E95" s="4" t="s">
        <v>17</v>
      </c>
      <c r="F95" s="4" t="s">
        <v>13</v>
      </c>
      <c r="G95" s="10" t="str" cm="1">
        <f t="array" ref="G95">_xlfn.IFS(E95="Apple","Fruits", E95="Orange Juice","Beverages", E95="Detergent","Household", E95="Shampoo","Personal Care", E95="Notebook","Stationery")</f>
        <v>Beverages</v>
      </c>
      <c r="H95" s="12">
        <v>9</v>
      </c>
      <c r="I95" s="15">
        <v>54.41</v>
      </c>
      <c r="J95" s="14">
        <f t="shared" si="1"/>
        <v>489.68999999999994</v>
      </c>
    </row>
    <row r="96" spans="1:10" x14ac:dyDescent="0.35">
      <c r="A96" s="6">
        <v>95</v>
      </c>
      <c r="B96" s="4" t="s">
        <v>7</v>
      </c>
      <c r="C96" t="s">
        <v>8</v>
      </c>
      <c r="D96" s="4" t="s">
        <v>9</v>
      </c>
      <c r="E96" s="4" t="s">
        <v>5</v>
      </c>
      <c r="F96" s="4" t="s">
        <v>11</v>
      </c>
      <c r="G96" s="10" t="str" cm="1">
        <f t="array" ref="G96">_xlfn.IFS(E96="Apple","Fruits", E96="Orange Juice","Beverages", E96="Detergent","Household", E96="Shampoo","Personal Care", E96="Notebook","Stationery")</f>
        <v>Personal Care</v>
      </c>
      <c r="H96" s="12">
        <v>9</v>
      </c>
      <c r="I96" s="15">
        <v>173.73</v>
      </c>
      <c r="J96" s="14">
        <f t="shared" si="1"/>
        <v>1563.57</v>
      </c>
    </row>
    <row r="97" spans="1:10" x14ac:dyDescent="0.35">
      <c r="A97" s="6">
        <v>96</v>
      </c>
      <c r="B97" s="4" t="s">
        <v>2</v>
      </c>
      <c r="C97" t="s">
        <v>3</v>
      </c>
      <c r="D97" s="4" t="s">
        <v>4</v>
      </c>
      <c r="E97" s="4" t="s">
        <v>12</v>
      </c>
      <c r="F97" s="4" t="s">
        <v>18</v>
      </c>
      <c r="G97" s="10" t="str" cm="1">
        <f t="array" ref="G97">_xlfn.IFS(E97="Apple","Fruits", E97="Orange Juice","Beverages", E97="Detergent","Household", E97="Shampoo","Personal Care", E97="Notebook","Stationery")</f>
        <v>Fruits</v>
      </c>
      <c r="H97" s="12">
        <v>1</v>
      </c>
      <c r="I97" s="15">
        <v>7.38</v>
      </c>
      <c r="J97" s="14">
        <f t="shared" si="1"/>
        <v>7.38</v>
      </c>
    </row>
    <row r="98" spans="1:10" x14ac:dyDescent="0.35">
      <c r="A98" s="6">
        <v>97</v>
      </c>
      <c r="B98" s="4" t="s">
        <v>7</v>
      </c>
      <c r="C98" t="s">
        <v>8</v>
      </c>
      <c r="D98" s="4" t="s">
        <v>4</v>
      </c>
      <c r="E98" s="4" t="s">
        <v>17</v>
      </c>
      <c r="F98" s="4" t="s">
        <v>18</v>
      </c>
      <c r="G98" s="10" t="str" cm="1">
        <f t="array" ref="G98">_xlfn.IFS(E98="Apple","Fruits", E98="Orange Juice","Beverages", E98="Detergent","Household", E98="Shampoo","Personal Care", E98="Notebook","Stationery")</f>
        <v>Beverages</v>
      </c>
      <c r="H98" s="12">
        <v>17</v>
      </c>
      <c r="I98" s="15">
        <v>341.61</v>
      </c>
      <c r="J98" s="14">
        <f t="shared" si="1"/>
        <v>5807.37</v>
      </c>
    </row>
    <row r="99" spans="1:10" x14ac:dyDescent="0.35">
      <c r="A99" s="6">
        <v>98</v>
      </c>
      <c r="B99" s="4" t="s">
        <v>7</v>
      </c>
      <c r="C99" t="s">
        <v>8</v>
      </c>
      <c r="D99" s="4" t="s">
        <v>9</v>
      </c>
      <c r="E99" s="4" t="s">
        <v>10</v>
      </c>
      <c r="F99" s="4" t="s">
        <v>6</v>
      </c>
      <c r="G99" s="10" t="str" cm="1">
        <f t="array" ref="G99">_xlfn.IFS(E99="Apple","Fruits", E99="Orange Juice","Beverages", E99="Detergent","Household", E99="Shampoo","Personal Care", E99="Notebook","Stationery")</f>
        <v>Stationery</v>
      </c>
      <c r="H99" s="12">
        <v>3</v>
      </c>
      <c r="I99" s="15">
        <v>49.92</v>
      </c>
      <c r="J99" s="14">
        <f t="shared" si="1"/>
        <v>149.76</v>
      </c>
    </row>
    <row r="100" spans="1:10" x14ac:dyDescent="0.35">
      <c r="A100" s="6">
        <v>99</v>
      </c>
      <c r="B100" s="4" t="s">
        <v>2</v>
      </c>
      <c r="C100" t="s">
        <v>3</v>
      </c>
      <c r="D100" s="4" t="s">
        <v>9</v>
      </c>
      <c r="E100" s="4" t="s">
        <v>15</v>
      </c>
      <c r="F100" s="16"/>
      <c r="G100" s="9" t="str" cm="1">
        <f t="array" ref="G100">_xlfn.IFS(E100="Apple","Fruits", E100="Orange Juice","Beverages", E100="Detergent","Household", E100="Shampoo","Personal Care", E100="Notebook","Stationery")</f>
        <v>Household</v>
      </c>
      <c r="H100" s="12">
        <v>17</v>
      </c>
      <c r="I100" s="15">
        <v>277.39999999999998</v>
      </c>
      <c r="J100" s="14">
        <f t="shared" si="1"/>
        <v>4715.7999999999993</v>
      </c>
    </row>
    <row r="101" spans="1:10" x14ac:dyDescent="0.35">
      <c r="A101" s="6">
        <v>100</v>
      </c>
      <c r="B101" s="4" t="s">
        <v>2</v>
      </c>
      <c r="C101" t="s">
        <v>14</v>
      </c>
      <c r="D101" s="4" t="s">
        <v>4</v>
      </c>
      <c r="E101" s="4" t="s">
        <v>10</v>
      </c>
      <c r="F101" s="4" t="s">
        <v>18</v>
      </c>
      <c r="G101" s="10" t="str" cm="1">
        <f t="array" ref="G101">_xlfn.IFS(E101="Apple","Fruits", E101="Orange Juice","Beverages", E101="Detergent","Household", E101="Shampoo","Personal Care", E101="Notebook","Stationery")</f>
        <v>Stationery</v>
      </c>
      <c r="H101" s="12">
        <v>18</v>
      </c>
      <c r="I101" s="15">
        <v>204.54</v>
      </c>
      <c r="J101" s="14">
        <f t="shared" si="1"/>
        <v>3681.72</v>
      </c>
    </row>
    <row r="102" spans="1:10" x14ac:dyDescent="0.35">
      <c r="A102" s="6">
        <v>101</v>
      </c>
      <c r="B102" s="4" t="s">
        <v>7</v>
      </c>
      <c r="C102" t="s">
        <v>8</v>
      </c>
      <c r="D102" s="4" t="s">
        <v>4</v>
      </c>
      <c r="E102" s="4" t="s">
        <v>17</v>
      </c>
      <c r="F102" s="4" t="s">
        <v>16</v>
      </c>
      <c r="G102" s="10" t="str" cm="1">
        <f t="array" ref="G102">_xlfn.IFS(E102="Apple","Fruits", E102="Orange Juice","Beverages", E102="Detergent","Household", E102="Shampoo","Personal Care", E102="Notebook","Stationery")</f>
        <v>Beverages</v>
      </c>
      <c r="H102" s="12">
        <v>20</v>
      </c>
      <c r="I102" s="15">
        <v>90.74</v>
      </c>
      <c r="J102" s="14">
        <f t="shared" si="1"/>
        <v>1814.8</v>
      </c>
    </row>
    <row r="103" spans="1:10" x14ac:dyDescent="0.35">
      <c r="A103" s="6">
        <v>102</v>
      </c>
      <c r="B103" s="4" t="s">
        <v>2</v>
      </c>
      <c r="C103" t="s">
        <v>3</v>
      </c>
      <c r="D103" s="4" t="s">
        <v>9</v>
      </c>
      <c r="E103" s="4" t="s">
        <v>10</v>
      </c>
      <c r="F103" s="4" t="s">
        <v>18</v>
      </c>
      <c r="G103" s="10" t="str" cm="1">
        <f t="array" ref="G103">_xlfn.IFS(E103="Apple","Fruits", E103="Orange Juice","Beverages", E103="Detergent","Household", E103="Shampoo","Personal Care", E103="Notebook","Stationery")</f>
        <v>Stationery</v>
      </c>
      <c r="H103" s="12">
        <v>4</v>
      </c>
      <c r="I103" s="15">
        <v>71.430000000000007</v>
      </c>
      <c r="J103" s="14">
        <f t="shared" si="1"/>
        <v>285.72000000000003</v>
      </c>
    </row>
    <row r="104" spans="1:10" x14ac:dyDescent="0.35">
      <c r="A104" s="6">
        <v>103</v>
      </c>
      <c r="B104" s="4" t="s">
        <v>2</v>
      </c>
      <c r="C104" t="s">
        <v>3</v>
      </c>
      <c r="D104" s="4" t="s">
        <v>9</v>
      </c>
      <c r="E104" s="4" t="s">
        <v>17</v>
      </c>
      <c r="F104" s="4" t="s">
        <v>6</v>
      </c>
      <c r="G104" s="10" t="str" cm="1">
        <f t="array" ref="G104">_xlfn.IFS(E104="Apple","Fruits", E104="Orange Juice","Beverages", E104="Detergent","Household", E104="Shampoo","Personal Care", E104="Notebook","Stationery")</f>
        <v>Beverages</v>
      </c>
      <c r="H104" s="12">
        <v>9</v>
      </c>
      <c r="I104" s="15">
        <v>85.61</v>
      </c>
      <c r="J104" s="14">
        <f t="shared" si="1"/>
        <v>770.49</v>
      </c>
    </row>
    <row r="105" spans="1:10" x14ac:dyDescent="0.35">
      <c r="A105" s="6">
        <v>104</v>
      </c>
      <c r="B105" s="4" t="s">
        <v>2</v>
      </c>
      <c r="C105" t="s">
        <v>3</v>
      </c>
      <c r="D105" s="4" t="s">
        <v>9</v>
      </c>
      <c r="E105" s="4" t="s">
        <v>5</v>
      </c>
      <c r="F105" s="4" t="s">
        <v>18</v>
      </c>
      <c r="G105" s="10" t="str" cm="1">
        <f t="array" ref="G105">_xlfn.IFS(E105="Apple","Fruits", E105="Orange Juice","Beverages", E105="Detergent","Household", E105="Shampoo","Personal Care", E105="Notebook","Stationery")</f>
        <v>Personal Care</v>
      </c>
      <c r="H105" s="12">
        <v>18</v>
      </c>
      <c r="I105" s="15">
        <v>351.3</v>
      </c>
      <c r="J105" s="14">
        <f t="shared" si="1"/>
        <v>6323.4000000000005</v>
      </c>
    </row>
    <row r="106" spans="1:10" x14ac:dyDescent="0.35">
      <c r="A106" s="6">
        <v>105</v>
      </c>
      <c r="B106" s="4" t="s">
        <v>7</v>
      </c>
      <c r="C106" t="s">
        <v>8</v>
      </c>
      <c r="D106" s="4" t="s">
        <v>4</v>
      </c>
      <c r="E106" s="4" t="s">
        <v>17</v>
      </c>
      <c r="F106" s="4" t="s">
        <v>18</v>
      </c>
      <c r="G106" s="10" t="str" cm="1">
        <f t="array" ref="G106">_xlfn.IFS(E106="Apple","Fruits", E106="Orange Juice","Beverages", E106="Detergent","Household", E106="Shampoo","Personal Care", E106="Notebook","Stationery")</f>
        <v>Beverages</v>
      </c>
      <c r="H106" s="12">
        <v>18</v>
      </c>
      <c r="I106" s="15">
        <v>119.99</v>
      </c>
      <c r="J106" s="14">
        <f t="shared" si="1"/>
        <v>2159.8199999999997</v>
      </c>
    </row>
    <row r="107" spans="1:10" x14ac:dyDescent="0.35">
      <c r="A107" s="6">
        <v>106</v>
      </c>
      <c r="B107" s="4" t="s">
        <v>2</v>
      </c>
      <c r="C107" t="s">
        <v>14</v>
      </c>
      <c r="D107" s="4" t="s">
        <v>9</v>
      </c>
      <c r="E107" s="4" t="s">
        <v>12</v>
      </c>
      <c r="F107" s="4" t="s">
        <v>16</v>
      </c>
      <c r="G107" s="10" t="str" cm="1">
        <f t="array" ref="G107">_xlfn.IFS(E107="Apple","Fruits", E107="Orange Juice","Beverages", E107="Detergent","Household", E107="Shampoo","Personal Care", E107="Notebook","Stationery")</f>
        <v>Fruits</v>
      </c>
      <c r="H107" s="12">
        <v>2</v>
      </c>
      <c r="I107" s="15">
        <v>2.1800000000000002</v>
      </c>
      <c r="J107" s="14">
        <f t="shared" si="1"/>
        <v>4.3600000000000003</v>
      </c>
    </row>
    <row r="108" spans="1:10" x14ac:dyDescent="0.35">
      <c r="A108" s="6">
        <v>107</v>
      </c>
      <c r="B108" s="4" t="s">
        <v>2</v>
      </c>
      <c r="C108" t="s">
        <v>3</v>
      </c>
      <c r="D108" s="4" t="s">
        <v>4</v>
      </c>
      <c r="E108" s="4" t="s">
        <v>15</v>
      </c>
      <c r="F108" s="4" t="s">
        <v>6</v>
      </c>
      <c r="G108" s="10" t="str" cm="1">
        <f t="array" ref="G108">_xlfn.IFS(E108="Apple","Fruits", E108="Orange Juice","Beverages", E108="Detergent","Household", E108="Shampoo","Personal Care", E108="Notebook","Stationery")</f>
        <v>Household</v>
      </c>
      <c r="H108" s="12">
        <v>6</v>
      </c>
      <c r="I108" s="15">
        <v>28.89</v>
      </c>
      <c r="J108" s="14">
        <f t="shared" si="1"/>
        <v>173.34</v>
      </c>
    </row>
    <row r="109" spans="1:10" x14ac:dyDescent="0.35">
      <c r="A109" s="6">
        <v>108</v>
      </c>
      <c r="B109" s="4" t="s">
        <v>7</v>
      </c>
      <c r="C109" t="s">
        <v>8</v>
      </c>
      <c r="D109" s="4" t="s">
        <v>9</v>
      </c>
      <c r="E109" s="4" t="s">
        <v>15</v>
      </c>
      <c r="F109" s="4" t="s">
        <v>11</v>
      </c>
      <c r="G109" s="10" t="str" cm="1">
        <f t="array" ref="G109">_xlfn.IFS(E109="Apple","Fruits", E109="Orange Juice","Beverages", E109="Detergent","Household", E109="Shampoo","Personal Care", E109="Notebook","Stationery")</f>
        <v>Household</v>
      </c>
      <c r="H109" s="12">
        <v>15</v>
      </c>
      <c r="I109" s="15">
        <v>117.33</v>
      </c>
      <c r="J109" s="14">
        <f t="shared" si="1"/>
        <v>1759.95</v>
      </c>
    </row>
    <row r="110" spans="1:10" x14ac:dyDescent="0.35">
      <c r="A110" s="6">
        <v>109</v>
      </c>
      <c r="B110" s="4" t="s">
        <v>7</v>
      </c>
      <c r="C110" t="s">
        <v>8</v>
      </c>
      <c r="D110" s="4" t="s">
        <v>9</v>
      </c>
      <c r="E110" s="4" t="s">
        <v>17</v>
      </c>
      <c r="F110" s="4" t="s">
        <v>13</v>
      </c>
      <c r="G110" s="10" t="str" cm="1">
        <f t="array" ref="G110">_xlfn.IFS(E110="Apple","Fruits", E110="Orange Juice","Beverages", E110="Detergent","Household", E110="Shampoo","Personal Care", E110="Notebook","Stationery")</f>
        <v>Beverages</v>
      </c>
      <c r="H110" s="12">
        <v>9</v>
      </c>
      <c r="I110" s="15">
        <v>162.75</v>
      </c>
      <c r="J110" s="14">
        <f t="shared" si="1"/>
        <v>1464.75</v>
      </c>
    </row>
    <row r="111" spans="1:10" x14ac:dyDescent="0.35">
      <c r="A111" s="6">
        <v>110</v>
      </c>
      <c r="B111" s="4" t="s">
        <v>2</v>
      </c>
      <c r="C111" t="s">
        <v>3</v>
      </c>
      <c r="D111" s="4" t="s">
        <v>4</v>
      </c>
      <c r="E111" s="4" t="s">
        <v>15</v>
      </c>
      <c r="F111" s="4" t="s">
        <v>18</v>
      </c>
      <c r="G111" s="10" t="str" cm="1">
        <f t="array" ref="G111">_xlfn.IFS(E111="Apple","Fruits", E111="Orange Juice","Beverages", E111="Detergent","Household", E111="Shampoo","Personal Care", E111="Notebook","Stationery")</f>
        <v>Household</v>
      </c>
      <c r="H111" s="12">
        <v>13</v>
      </c>
      <c r="I111" s="15">
        <v>82.21</v>
      </c>
      <c r="J111" s="14">
        <f t="shared" si="1"/>
        <v>1068.73</v>
      </c>
    </row>
    <row r="112" spans="1:10" x14ac:dyDescent="0.35">
      <c r="A112" s="6">
        <v>111</v>
      </c>
      <c r="B112" s="4" t="s">
        <v>2</v>
      </c>
      <c r="C112" t="s">
        <v>14</v>
      </c>
      <c r="D112" s="4" t="s">
        <v>4</v>
      </c>
      <c r="E112" s="4" t="s">
        <v>12</v>
      </c>
      <c r="F112" s="4" t="s">
        <v>16</v>
      </c>
      <c r="G112" s="10" t="str" cm="1">
        <f t="array" ref="G112">_xlfn.IFS(E112="Apple","Fruits", E112="Orange Juice","Beverages", E112="Detergent","Household", E112="Shampoo","Personal Care", E112="Notebook","Stationery")</f>
        <v>Fruits</v>
      </c>
      <c r="H112" s="12">
        <v>9</v>
      </c>
      <c r="I112" s="15">
        <v>144.16</v>
      </c>
      <c r="J112" s="14">
        <f t="shared" si="1"/>
        <v>1297.44</v>
      </c>
    </row>
    <row r="113" spans="1:10" x14ac:dyDescent="0.35">
      <c r="A113" s="6">
        <v>112</v>
      </c>
      <c r="B113" s="4" t="s">
        <v>2</v>
      </c>
      <c r="C113" t="s">
        <v>3</v>
      </c>
      <c r="D113" s="4" t="s">
        <v>4</v>
      </c>
      <c r="E113" s="4" t="s">
        <v>12</v>
      </c>
      <c r="F113" s="4" t="s">
        <v>18</v>
      </c>
      <c r="G113" s="10" t="str" cm="1">
        <f t="array" ref="G113">_xlfn.IFS(E113="Apple","Fruits", E113="Orange Juice","Beverages", E113="Detergent","Household", E113="Shampoo","Personal Care", E113="Notebook","Stationery")</f>
        <v>Fruits</v>
      </c>
      <c r="H113" s="12">
        <v>9</v>
      </c>
      <c r="I113" s="15">
        <v>96.69</v>
      </c>
      <c r="J113" s="14">
        <f t="shared" si="1"/>
        <v>870.21</v>
      </c>
    </row>
    <row r="114" spans="1:10" x14ac:dyDescent="0.35">
      <c r="A114" s="6">
        <v>113</v>
      </c>
      <c r="B114" s="4" t="s">
        <v>2</v>
      </c>
      <c r="C114" t="s">
        <v>14</v>
      </c>
      <c r="D114" s="4" t="s">
        <v>4</v>
      </c>
      <c r="E114" s="4" t="s">
        <v>12</v>
      </c>
      <c r="F114" s="4" t="s">
        <v>18</v>
      </c>
      <c r="G114" s="10" t="str" cm="1">
        <f t="array" ref="G114">_xlfn.IFS(E114="Apple","Fruits", E114="Orange Juice","Beverages", E114="Detergent","Household", E114="Shampoo","Personal Care", E114="Notebook","Stationery")</f>
        <v>Fruits</v>
      </c>
      <c r="H114" s="12">
        <v>3</v>
      </c>
      <c r="I114" s="15">
        <v>67.06</v>
      </c>
      <c r="J114" s="14">
        <f t="shared" si="1"/>
        <v>201.18</v>
      </c>
    </row>
    <row r="115" spans="1:10" x14ac:dyDescent="0.35">
      <c r="A115" s="6">
        <v>114</v>
      </c>
      <c r="B115" s="4" t="s">
        <v>2</v>
      </c>
      <c r="C115" t="s">
        <v>14</v>
      </c>
      <c r="D115" s="4" t="s">
        <v>4</v>
      </c>
      <c r="E115" s="4" t="s">
        <v>15</v>
      </c>
      <c r="F115" s="4" t="s">
        <v>13</v>
      </c>
      <c r="G115" s="10" t="str" cm="1">
        <f t="array" ref="G115">_xlfn.IFS(E115="Apple","Fruits", E115="Orange Juice","Beverages", E115="Detergent","Household", E115="Shampoo","Personal Care", E115="Notebook","Stationery")</f>
        <v>Household</v>
      </c>
      <c r="H115" s="12">
        <v>15</v>
      </c>
      <c r="I115" s="15">
        <v>150.55000000000001</v>
      </c>
      <c r="J115" s="14">
        <f t="shared" si="1"/>
        <v>2258.25</v>
      </c>
    </row>
    <row r="116" spans="1:10" x14ac:dyDescent="0.35">
      <c r="A116" s="6">
        <v>115</v>
      </c>
      <c r="B116" s="4" t="s">
        <v>2</v>
      </c>
      <c r="C116" t="s">
        <v>3</v>
      </c>
      <c r="D116" s="4" t="s">
        <v>9</v>
      </c>
      <c r="E116" s="4" t="s">
        <v>17</v>
      </c>
      <c r="F116" s="4" t="s">
        <v>6</v>
      </c>
      <c r="G116" s="10" t="str" cm="1">
        <f t="array" ref="G116">_xlfn.IFS(E116="Apple","Fruits", E116="Orange Juice","Beverages", E116="Detergent","Household", E116="Shampoo","Personal Care", E116="Notebook","Stationery")</f>
        <v>Beverages</v>
      </c>
      <c r="H116" s="12">
        <v>11</v>
      </c>
      <c r="I116" s="15">
        <v>56.14</v>
      </c>
      <c r="J116" s="14">
        <f t="shared" si="1"/>
        <v>617.54</v>
      </c>
    </row>
    <row r="117" spans="1:10" x14ac:dyDescent="0.35">
      <c r="A117" s="6">
        <v>116</v>
      </c>
      <c r="B117" s="4" t="s">
        <v>2</v>
      </c>
      <c r="C117" t="s">
        <v>3</v>
      </c>
      <c r="D117" s="4" t="s">
        <v>9</v>
      </c>
      <c r="E117" s="4" t="s">
        <v>12</v>
      </c>
      <c r="F117" s="4" t="s">
        <v>6</v>
      </c>
      <c r="G117" s="10" t="str" cm="1">
        <f t="array" ref="G117">_xlfn.IFS(E117="Apple","Fruits", E117="Orange Juice","Beverages", E117="Detergent","Household", E117="Shampoo","Personal Care", E117="Notebook","Stationery")</f>
        <v>Fruits</v>
      </c>
      <c r="H117" s="12">
        <v>19</v>
      </c>
      <c r="I117" s="15">
        <v>142.51</v>
      </c>
      <c r="J117" s="14">
        <f t="shared" si="1"/>
        <v>2707.6899999999996</v>
      </c>
    </row>
    <row r="118" spans="1:10" x14ac:dyDescent="0.35">
      <c r="A118" s="6">
        <v>117</v>
      </c>
      <c r="B118" s="4" t="s">
        <v>2</v>
      </c>
      <c r="C118" t="s">
        <v>14</v>
      </c>
      <c r="D118" s="4" t="s">
        <v>4</v>
      </c>
      <c r="E118" s="4" t="s">
        <v>5</v>
      </c>
      <c r="F118" s="4" t="s">
        <v>11</v>
      </c>
      <c r="G118" s="10" t="str" cm="1">
        <f t="array" ref="G118">_xlfn.IFS(E118="Apple","Fruits", E118="Orange Juice","Beverages", E118="Detergent","Household", E118="Shampoo","Personal Care", E118="Notebook","Stationery")</f>
        <v>Personal Care</v>
      </c>
      <c r="H118" s="12">
        <v>18</v>
      </c>
      <c r="I118" s="15">
        <v>243.64</v>
      </c>
      <c r="J118" s="14">
        <f t="shared" si="1"/>
        <v>4385.5199999999995</v>
      </c>
    </row>
    <row r="119" spans="1:10" x14ac:dyDescent="0.35">
      <c r="A119" s="6">
        <v>118</v>
      </c>
      <c r="B119" s="4" t="s">
        <v>7</v>
      </c>
      <c r="C119" t="s">
        <v>8</v>
      </c>
      <c r="D119" s="4" t="s">
        <v>4</v>
      </c>
      <c r="E119" s="4" t="s">
        <v>15</v>
      </c>
      <c r="F119" s="4" t="s">
        <v>13</v>
      </c>
      <c r="G119" s="10" t="str" cm="1">
        <f t="array" ref="G119">_xlfn.IFS(E119="Apple","Fruits", E119="Orange Juice","Beverages", E119="Detergent","Household", E119="Shampoo","Personal Care", E119="Notebook","Stationery")</f>
        <v>Household</v>
      </c>
      <c r="H119" s="12">
        <v>16</v>
      </c>
      <c r="I119" s="15">
        <v>92.79</v>
      </c>
      <c r="J119" s="14">
        <f t="shared" si="1"/>
        <v>1484.64</v>
      </c>
    </row>
    <row r="120" spans="1:10" x14ac:dyDescent="0.35">
      <c r="A120" s="6">
        <v>119</v>
      </c>
      <c r="B120" s="4" t="s">
        <v>2</v>
      </c>
      <c r="C120" t="s">
        <v>14</v>
      </c>
      <c r="D120" s="4" t="s">
        <v>9</v>
      </c>
      <c r="E120" s="4" t="s">
        <v>12</v>
      </c>
      <c r="F120" s="4" t="s">
        <v>11</v>
      </c>
      <c r="G120" s="10" t="str" cm="1">
        <f t="array" ref="G120">_xlfn.IFS(E120="Apple","Fruits", E120="Orange Juice","Beverages", E120="Detergent","Household", E120="Shampoo","Personal Care", E120="Notebook","Stationery")</f>
        <v>Fruits</v>
      </c>
      <c r="H120" s="12">
        <v>7</v>
      </c>
      <c r="I120" s="15">
        <v>131.9</v>
      </c>
      <c r="J120" s="14">
        <f t="shared" si="1"/>
        <v>923.30000000000007</v>
      </c>
    </row>
    <row r="121" spans="1:10" x14ac:dyDescent="0.35">
      <c r="A121" s="6">
        <v>120</v>
      </c>
      <c r="B121" s="4" t="s">
        <v>2</v>
      </c>
      <c r="C121" t="s">
        <v>3</v>
      </c>
      <c r="D121" s="4" t="s">
        <v>9</v>
      </c>
      <c r="E121" s="4" t="s">
        <v>17</v>
      </c>
      <c r="F121" s="4" t="s">
        <v>18</v>
      </c>
      <c r="G121" s="10" t="str" cm="1">
        <f t="array" ref="G121">_xlfn.IFS(E121="Apple","Fruits", E121="Orange Juice","Beverages", E121="Detergent","Household", E121="Shampoo","Personal Care", E121="Notebook","Stationery")</f>
        <v>Beverages</v>
      </c>
      <c r="H121" s="12">
        <v>9</v>
      </c>
      <c r="I121" s="15">
        <v>44.68</v>
      </c>
      <c r="J121" s="14">
        <f t="shared" si="1"/>
        <v>402.12</v>
      </c>
    </row>
    <row r="122" spans="1:10" x14ac:dyDescent="0.35">
      <c r="A122" s="6">
        <v>121</v>
      </c>
      <c r="B122" s="4" t="s">
        <v>7</v>
      </c>
      <c r="C122" t="s">
        <v>8</v>
      </c>
      <c r="D122" s="4" t="s">
        <v>4</v>
      </c>
      <c r="E122" s="4" t="s">
        <v>10</v>
      </c>
      <c r="F122" s="4" t="s">
        <v>6</v>
      </c>
      <c r="G122" s="10" t="str" cm="1">
        <f t="array" ref="G122">_xlfn.IFS(E122="Apple","Fruits", E122="Orange Juice","Beverages", E122="Detergent","Household", E122="Shampoo","Personal Care", E122="Notebook","Stationery")</f>
        <v>Stationery</v>
      </c>
      <c r="H122" s="12">
        <v>4</v>
      </c>
      <c r="I122" s="15">
        <v>7.19</v>
      </c>
      <c r="J122" s="14">
        <f t="shared" si="1"/>
        <v>28.76</v>
      </c>
    </row>
    <row r="123" spans="1:10" x14ac:dyDescent="0.35">
      <c r="A123" s="6">
        <v>122</v>
      </c>
      <c r="B123" s="4" t="s">
        <v>2</v>
      </c>
      <c r="C123" t="s">
        <v>3</v>
      </c>
      <c r="D123" s="4" t="s">
        <v>9</v>
      </c>
      <c r="E123" s="4" t="s">
        <v>15</v>
      </c>
      <c r="F123" s="4" t="s">
        <v>16</v>
      </c>
      <c r="G123" s="10" t="str" cm="1">
        <f t="array" ref="G123">_xlfn.IFS(E123="Apple","Fruits", E123="Orange Juice","Beverages", E123="Detergent","Household", E123="Shampoo","Personal Care", E123="Notebook","Stationery")</f>
        <v>Household</v>
      </c>
      <c r="H123" s="12">
        <v>12</v>
      </c>
      <c r="I123" s="15">
        <v>41.09</v>
      </c>
      <c r="J123" s="14">
        <f t="shared" si="1"/>
        <v>493.08000000000004</v>
      </c>
    </row>
    <row r="124" spans="1:10" x14ac:dyDescent="0.35">
      <c r="A124" s="6">
        <v>123</v>
      </c>
      <c r="B124" s="4" t="s">
        <v>2</v>
      </c>
      <c r="C124" t="s">
        <v>14</v>
      </c>
      <c r="D124" s="4" t="s">
        <v>9</v>
      </c>
      <c r="E124" s="4" t="s">
        <v>5</v>
      </c>
      <c r="F124" s="4" t="s">
        <v>6</v>
      </c>
      <c r="G124" s="10" t="str" cm="1">
        <f t="array" ref="G124">_xlfn.IFS(E124="Apple","Fruits", E124="Orange Juice","Beverages", E124="Detergent","Household", E124="Shampoo","Personal Care", E124="Notebook","Stationery")</f>
        <v>Personal Care</v>
      </c>
      <c r="H124" s="12">
        <v>11</v>
      </c>
      <c r="I124" s="15">
        <v>39.19</v>
      </c>
      <c r="J124" s="14">
        <f t="shared" si="1"/>
        <v>431.09</v>
      </c>
    </row>
    <row r="125" spans="1:10" x14ac:dyDescent="0.35">
      <c r="A125" s="6">
        <v>124</v>
      </c>
      <c r="B125" s="4" t="s">
        <v>2</v>
      </c>
      <c r="C125" t="s">
        <v>3</v>
      </c>
      <c r="D125" s="4" t="s">
        <v>4</v>
      </c>
      <c r="E125" s="4" t="s">
        <v>15</v>
      </c>
      <c r="F125" s="4" t="s">
        <v>16</v>
      </c>
      <c r="G125" s="10" t="str" cm="1">
        <f t="array" ref="G125">_xlfn.IFS(E125="Apple","Fruits", E125="Orange Juice","Beverages", E125="Detergent","Household", E125="Shampoo","Personal Care", E125="Notebook","Stationery")</f>
        <v>Household</v>
      </c>
      <c r="H125" s="12">
        <v>4</v>
      </c>
      <c r="I125" s="15">
        <v>63.81</v>
      </c>
      <c r="J125" s="14">
        <f t="shared" si="1"/>
        <v>255.24</v>
      </c>
    </row>
    <row r="126" spans="1:10" x14ac:dyDescent="0.35">
      <c r="A126" s="6">
        <v>125</v>
      </c>
      <c r="B126" s="4" t="s">
        <v>2</v>
      </c>
      <c r="C126" t="s">
        <v>3</v>
      </c>
      <c r="D126" s="4" t="s">
        <v>4</v>
      </c>
      <c r="E126" s="4" t="s">
        <v>5</v>
      </c>
      <c r="F126" s="4" t="s">
        <v>16</v>
      </c>
      <c r="G126" s="10" t="str" cm="1">
        <f t="array" ref="G126">_xlfn.IFS(E126="Apple","Fruits", E126="Orange Juice","Beverages", E126="Detergent","Household", E126="Shampoo","Personal Care", E126="Notebook","Stationery")</f>
        <v>Personal Care</v>
      </c>
      <c r="H126" s="12">
        <v>6</v>
      </c>
      <c r="I126" s="15">
        <v>43.91</v>
      </c>
      <c r="J126" s="14">
        <f t="shared" si="1"/>
        <v>263.45999999999998</v>
      </c>
    </row>
    <row r="127" spans="1:10" x14ac:dyDescent="0.35">
      <c r="A127" s="6">
        <v>126</v>
      </c>
      <c r="B127" s="4" t="s">
        <v>2</v>
      </c>
      <c r="C127" t="s">
        <v>3</v>
      </c>
      <c r="D127" s="4" t="s">
        <v>4</v>
      </c>
      <c r="E127" s="4" t="s">
        <v>15</v>
      </c>
      <c r="F127" s="4" t="s">
        <v>13</v>
      </c>
      <c r="G127" s="10" t="str" cm="1">
        <f t="array" ref="G127">_xlfn.IFS(E127="Apple","Fruits", E127="Orange Juice","Beverages", E127="Detergent","Household", E127="Shampoo","Personal Care", E127="Notebook","Stationery")</f>
        <v>Household</v>
      </c>
      <c r="H127" s="12">
        <v>10</v>
      </c>
      <c r="I127" s="15">
        <v>217.96</v>
      </c>
      <c r="J127" s="14">
        <f t="shared" si="1"/>
        <v>2179.6</v>
      </c>
    </row>
    <row r="128" spans="1:10" x14ac:dyDescent="0.35">
      <c r="A128" s="6">
        <v>127</v>
      </c>
      <c r="B128" s="4" t="s">
        <v>2</v>
      </c>
      <c r="C128" t="s">
        <v>3</v>
      </c>
      <c r="D128" s="4" t="s">
        <v>9</v>
      </c>
      <c r="E128" s="4" t="s">
        <v>12</v>
      </c>
      <c r="F128" s="4" t="s">
        <v>18</v>
      </c>
      <c r="G128" s="10" t="str" cm="1">
        <f t="array" ref="G128">_xlfn.IFS(E128="Apple","Fruits", E128="Orange Juice","Beverages", E128="Detergent","Household", E128="Shampoo","Personal Care", E128="Notebook","Stationery")</f>
        <v>Fruits</v>
      </c>
      <c r="H128" s="12">
        <v>10</v>
      </c>
      <c r="I128" s="15">
        <v>11.66</v>
      </c>
      <c r="J128" s="14">
        <f t="shared" si="1"/>
        <v>116.6</v>
      </c>
    </row>
    <row r="129" spans="1:10" x14ac:dyDescent="0.35">
      <c r="A129" s="6">
        <v>128</v>
      </c>
      <c r="B129" s="4" t="s">
        <v>2</v>
      </c>
      <c r="C129" t="s">
        <v>14</v>
      </c>
      <c r="D129" s="4" t="s">
        <v>4</v>
      </c>
      <c r="E129" s="4" t="s">
        <v>10</v>
      </c>
      <c r="F129" s="4" t="s">
        <v>13</v>
      </c>
      <c r="G129" s="10" t="str" cm="1">
        <f t="array" ref="G129">_xlfn.IFS(E129="Apple","Fruits", E129="Orange Juice","Beverages", E129="Detergent","Household", E129="Shampoo","Personal Care", E129="Notebook","Stationery")</f>
        <v>Stationery</v>
      </c>
      <c r="H129" s="12">
        <v>5</v>
      </c>
      <c r="I129" s="15">
        <v>14.87</v>
      </c>
      <c r="J129" s="14">
        <f t="shared" si="1"/>
        <v>74.349999999999994</v>
      </c>
    </row>
    <row r="130" spans="1:10" x14ac:dyDescent="0.35">
      <c r="A130" s="6">
        <v>129</v>
      </c>
      <c r="B130" s="4" t="s">
        <v>2</v>
      </c>
      <c r="C130" t="s">
        <v>14</v>
      </c>
      <c r="D130" s="4" t="s">
        <v>4</v>
      </c>
      <c r="E130" s="4" t="s">
        <v>5</v>
      </c>
      <c r="F130" s="4" t="s">
        <v>18</v>
      </c>
      <c r="G130" s="10" t="str" cm="1">
        <f t="array" ref="G130">_xlfn.IFS(E130="Apple","Fruits", E130="Orange Juice","Beverages", E130="Detergent","Household", E130="Shampoo","Personal Care", E130="Notebook","Stationery")</f>
        <v>Personal Care</v>
      </c>
      <c r="H130" s="12">
        <v>4</v>
      </c>
      <c r="I130" s="15">
        <v>66.430000000000007</v>
      </c>
      <c r="J130" s="14">
        <f t="shared" ref="J130:J193" si="2">H130*I130</f>
        <v>265.72000000000003</v>
      </c>
    </row>
    <row r="131" spans="1:10" x14ac:dyDescent="0.35">
      <c r="A131" s="6">
        <v>130</v>
      </c>
      <c r="B131" s="4" t="s">
        <v>7</v>
      </c>
      <c r="C131" t="s">
        <v>8</v>
      </c>
      <c r="D131" s="4" t="s">
        <v>4</v>
      </c>
      <c r="E131" s="4" t="s">
        <v>5</v>
      </c>
      <c r="F131" s="4" t="s">
        <v>16</v>
      </c>
      <c r="G131" s="10" t="str" cm="1">
        <f t="array" ref="G131">_xlfn.IFS(E131="Apple","Fruits", E131="Orange Juice","Beverages", E131="Detergent","Household", E131="Shampoo","Personal Care", E131="Notebook","Stationery")</f>
        <v>Personal Care</v>
      </c>
      <c r="H131" s="12">
        <v>16</v>
      </c>
      <c r="I131" s="15">
        <v>225.64</v>
      </c>
      <c r="J131" s="14">
        <f t="shared" si="2"/>
        <v>3610.24</v>
      </c>
    </row>
    <row r="132" spans="1:10" x14ac:dyDescent="0.35">
      <c r="A132" s="6">
        <v>131</v>
      </c>
      <c r="B132" s="4" t="s">
        <v>2</v>
      </c>
      <c r="C132" t="s">
        <v>3</v>
      </c>
      <c r="D132" s="4" t="s">
        <v>9</v>
      </c>
      <c r="E132" s="4" t="s">
        <v>5</v>
      </c>
      <c r="F132" s="4" t="s">
        <v>6</v>
      </c>
      <c r="G132" s="10" t="str" cm="1">
        <f t="array" ref="G132">_xlfn.IFS(E132="Apple","Fruits", E132="Orange Juice","Beverages", E132="Detergent","Household", E132="Shampoo","Personal Care", E132="Notebook","Stationery")</f>
        <v>Personal Care</v>
      </c>
      <c r="H132" s="12">
        <v>19</v>
      </c>
      <c r="I132" s="15">
        <v>125.44</v>
      </c>
      <c r="J132" s="14">
        <f t="shared" si="2"/>
        <v>2383.36</v>
      </c>
    </row>
    <row r="133" spans="1:10" x14ac:dyDescent="0.35">
      <c r="A133" s="6">
        <v>132</v>
      </c>
      <c r="B133" s="4" t="s">
        <v>2</v>
      </c>
      <c r="C133" t="s">
        <v>14</v>
      </c>
      <c r="D133" s="4" t="s">
        <v>9</v>
      </c>
      <c r="E133" s="4" t="s">
        <v>17</v>
      </c>
      <c r="F133" s="4" t="s">
        <v>16</v>
      </c>
      <c r="G133" s="10" t="str" cm="1">
        <f t="array" ref="G133">_xlfn.IFS(E133="Apple","Fruits", E133="Orange Juice","Beverages", E133="Detergent","Household", E133="Shampoo","Personal Care", E133="Notebook","Stationery")</f>
        <v>Beverages</v>
      </c>
      <c r="H133" s="12">
        <v>17</v>
      </c>
      <c r="I133" s="15">
        <v>218.46</v>
      </c>
      <c r="J133" s="14">
        <f t="shared" si="2"/>
        <v>3713.82</v>
      </c>
    </row>
    <row r="134" spans="1:10" x14ac:dyDescent="0.35">
      <c r="A134" s="6">
        <v>133</v>
      </c>
      <c r="B134" s="4" t="s">
        <v>2</v>
      </c>
      <c r="C134" t="s">
        <v>14</v>
      </c>
      <c r="D134" s="4" t="s">
        <v>9</v>
      </c>
      <c r="E134" s="4" t="s">
        <v>12</v>
      </c>
      <c r="F134" s="4" t="s">
        <v>13</v>
      </c>
      <c r="G134" s="10" t="str" cm="1">
        <f t="array" ref="G134">_xlfn.IFS(E134="Apple","Fruits", E134="Orange Juice","Beverages", E134="Detergent","Household", E134="Shampoo","Personal Care", E134="Notebook","Stationery")</f>
        <v>Fruits</v>
      </c>
      <c r="H134" s="12">
        <v>14</v>
      </c>
      <c r="I134" s="15">
        <v>258.41000000000003</v>
      </c>
      <c r="J134" s="14">
        <f t="shared" si="2"/>
        <v>3617.7400000000002</v>
      </c>
    </row>
    <row r="135" spans="1:10" x14ac:dyDescent="0.35">
      <c r="A135" s="6">
        <v>134</v>
      </c>
      <c r="B135" s="4" t="s">
        <v>2</v>
      </c>
      <c r="C135" t="s">
        <v>3</v>
      </c>
      <c r="D135" s="4" t="s">
        <v>4</v>
      </c>
      <c r="E135" s="4" t="s">
        <v>12</v>
      </c>
      <c r="F135" s="4" t="s">
        <v>18</v>
      </c>
      <c r="G135" s="10" t="str" cm="1">
        <f t="array" ref="G135">_xlfn.IFS(E135="Apple","Fruits", E135="Orange Juice","Beverages", E135="Detergent","Household", E135="Shampoo","Personal Care", E135="Notebook","Stationery")</f>
        <v>Fruits</v>
      </c>
      <c r="H135" s="12">
        <v>11</v>
      </c>
      <c r="I135" s="15">
        <v>203.03</v>
      </c>
      <c r="J135" s="14">
        <f t="shared" si="2"/>
        <v>2233.33</v>
      </c>
    </row>
    <row r="136" spans="1:10" x14ac:dyDescent="0.35">
      <c r="A136" s="6">
        <v>135</v>
      </c>
      <c r="B136" s="4" t="s">
        <v>2</v>
      </c>
      <c r="C136" t="s">
        <v>3</v>
      </c>
      <c r="D136" s="4" t="s">
        <v>4</v>
      </c>
      <c r="E136" s="4" t="s">
        <v>10</v>
      </c>
      <c r="F136" s="4" t="s">
        <v>18</v>
      </c>
      <c r="G136" s="10" t="str" cm="1">
        <f t="array" ref="G136">_xlfn.IFS(E136="Apple","Fruits", E136="Orange Juice","Beverages", E136="Detergent","Household", E136="Shampoo","Personal Care", E136="Notebook","Stationery")</f>
        <v>Stationery</v>
      </c>
      <c r="H136" s="12">
        <v>19</v>
      </c>
      <c r="I136" s="15">
        <v>418.39</v>
      </c>
      <c r="J136" s="14">
        <f t="shared" si="2"/>
        <v>7949.41</v>
      </c>
    </row>
    <row r="137" spans="1:10" x14ac:dyDescent="0.35">
      <c r="A137" s="6">
        <v>136</v>
      </c>
      <c r="B137" s="4" t="s">
        <v>7</v>
      </c>
      <c r="C137" t="s">
        <v>8</v>
      </c>
      <c r="D137" s="4" t="s">
        <v>9</v>
      </c>
      <c r="E137" s="4" t="s">
        <v>12</v>
      </c>
      <c r="F137" s="4" t="s">
        <v>18</v>
      </c>
      <c r="G137" s="10" t="str" cm="1">
        <f t="array" ref="G137">_xlfn.IFS(E137="Apple","Fruits", E137="Orange Juice","Beverages", E137="Detergent","Household", E137="Shampoo","Personal Care", E137="Notebook","Stationery")</f>
        <v>Fruits</v>
      </c>
      <c r="H137" s="12">
        <v>1</v>
      </c>
      <c r="I137" s="15">
        <v>5.25</v>
      </c>
      <c r="J137" s="14">
        <f t="shared" si="2"/>
        <v>5.25</v>
      </c>
    </row>
    <row r="138" spans="1:10" x14ac:dyDescent="0.35">
      <c r="A138" s="6">
        <v>137</v>
      </c>
      <c r="B138" s="4" t="s">
        <v>7</v>
      </c>
      <c r="C138" t="s">
        <v>8</v>
      </c>
      <c r="D138" s="4" t="s">
        <v>4</v>
      </c>
      <c r="E138" s="4" t="s">
        <v>12</v>
      </c>
      <c r="F138" s="4" t="s">
        <v>16</v>
      </c>
      <c r="G138" s="10" t="str" cm="1">
        <f t="array" ref="G138">_xlfn.IFS(E138="Apple","Fruits", E138="Orange Juice","Beverages", E138="Detergent","Household", E138="Shampoo","Personal Care", E138="Notebook","Stationery")</f>
        <v>Fruits</v>
      </c>
      <c r="H138" s="12">
        <v>2</v>
      </c>
      <c r="I138" s="15">
        <v>38.630000000000003</v>
      </c>
      <c r="J138" s="14">
        <f t="shared" si="2"/>
        <v>77.260000000000005</v>
      </c>
    </row>
    <row r="139" spans="1:10" x14ac:dyDescent="0.35">
      <c r="A139" s="6">
        <v>138</v>
      </c>
      <c r="B139" s="4" t="s">
        <v>7</v>
      </c>
      <c r="C139" t="s">
        <v>8</v>
      </c>
      <c r="D139" s="4" t="s">
        <v>4</v>
      </c>
      <c r="E139" s="4" t="s">
        <v>10</v>
      </c>
      <c r="F139" s="4" t="s">
        <v>16</v>
      </c>
      <c r="G139" s="10" t="str" cm="1">
        <f t="array" ref="G139">_xlfn.IFS(E139="Apple","Fruits", E139="Orange Juice","Beverages", E139="Detergent","Household", E139="Shampoo","Personal Care", E139="Notebook","Stationery")</f>
        <v>Stationery</v>
      </c>
      <c r="H139" s="12">
        <v>18</v>
      </c>
      <c r="I139" s="15">
        <v>89.75</v>
      </c>
      <c r="J139" s="14">
        <f t="shared" si="2"/>
        <v>1615.5</v>
      </c>
    </row>
    <row r="140" spans="1:10" x14ac:dyDescent="0.35">
      <c r="A140" s="6">
        <v>139</v>
      </c>
      <c r="B140" s="4" t="s">
        <v>2</v>
      </c>
      <c r="C140" t="s">
        <v>14</v>
      </c>
      <c r="D140" s="4" t="s">
        <v>4</v>
      </c>
      <c r="E140" s="4" t="s">
        <v>5</v>
      </c>
      <c r="F140" s="4" t="s">
        <v>13</v>
      </c>
      <c r="G140" s="10" t="str" cm="1">
        <f t="array" ref="G140">_xlfn.IFS(E140="Apple","Fruits", E140="Orange Juice","Beverages", E140="Detergent","Household", E140="Shampoo","Personal Care", E140="Notebook","Stationery")</f>
        <v>Personal Care</v>
      </c>
      <c r="H140" s="12">
        <v>14</v>
      </c>
      <c r="I140" s="15">
        <v>73.25</v>
      </c>
      <c r="J140" s="14">
        <f t="shared" si="2"/>
        <v>1025.5</v>
      </c>
    </row>
    <row r="141" spans="1:10" x14ac:dyDescent="0.35">
      <c r="A141" s="6">
        <v>140</v>
      </c>
      <c r="B141" s="4" t="s">
        <v>7</v>
      </c>
      <c r="C141" t="s">
        <v>8</v>
      </c>
      <c r="D141" s="4" t="s">
        <v>4</v>
      </c>
      <c r="E141" s="4" t="s">
        <v>17</v>
      </c>
      <c r="F141" s="4" t="s">
        <v>6</v>
      </c>
      <c r="G141" s="10" t="str" cm="1">
        <f t="array" ref="G141">_xlfn.IFS(E141="Apple","Fruits", E141="Orange Juice","Beverages", E141="Detergent","Household", E141="Shampoo","Personal Care", E141="Notebook","Stationery")</f>
        <v>Beverages</v>
      </c>
      <c r="H141" s="12">
        <v>13</v>
      </c>
      <c r="I141" s="15">
        <v>135.07</v>
      </c>
      <c r="J141" s="14">
        <f t="shared" si="2"/>
        <v>1755.9099999999999</v>
      </c>
    </row>
    <row r="142" spans="1:10" x14ac:dyDescent="0.35">
      <c r="A142" s="6">
        <v>141</v>
      </c>
      <c r="B142" s="4" t="s">
        <v>2</v>
      </c>
      <c r="C142" t="s">
        <v>14</v>
      </c>
      <c r="D142" s="4" t="s">
        <v>9</v>
      </c>
      <c r="E142" s="4" t="s">
        <v>10</v>
      </c>
      <c r="F142" s="4" t="s">
        <v>13</v>
      </c>
      <c r="G142" s="10" t="str" cm="1">
        <f t="array" ref="G142">_xlfn.IFS(E142="Apple","Fruits", E142="Orange Juice","Beverages", E142="Detergent","Household", E142="Shampoo","Personal Care", E142="Notebook","Stationery")</f>
        <v>Stationery</v>
      </c>
      <c r="H142" s="12">
        <v>6</v>
      </c>
      <c r="I142" s="15">
        <v>22.08</v>
      </c>
      <c r="J142" s="14">
        <f t="shared" si="2"/>
        <v>132.47999999999999</v>
      </c>
    </row>
    <row r="143" spans="1:10" x14ac:dyDescent="0.35">
      <c r="A143" s="6">
        <v>142</v>
      </c>
      <c r="B143" s="4" t="s">
        <v>2</v>
      </c>
      <c r="C143" t="s">
        <v>3</v>
      </c>
      <c r="D143" s="4" t="s">
        <v>4</v>
      </c>
      <c r="E143" s="4" t="s">
        <v>10</v>
      </c>
      <c r="F143" s="4" t="s">
        <v>16</v>
      </c>
      <c r="G143" s="10" t="str" cm="1">
        <f t="array" ref="G143">_xlfn.IFS(E143="Apple","Fruits", E143="Orange Juice","Beverages", E143="Detergent","Household", E143="Shampoo","Personal Care", E143="Notebook","Stationery")</f>
        <v>Stationery</v>
      </c>
      <c r="H143" s="12">
        <v>7</v>
      </c>
      <c r="I143" s="15">
        <v>109.2</v>
      </c>
      <c r="J143" s="14">
        <f t="shared" si="2"/>
        <v>764.4</v>
      </c>
    </row>
    <row r="144" spans="1:10" x14ac:dyDescent="0.35">
      <c r="A144" s="6">
        <v>143</v>
      </c>
      <c r="B144" s="4" t="s">
        <v>2</v>
      </c>
      <c r="C144" t="s">
        <v>3</v>
      </c>
      <c r="D144" s="4" t="s">
        <v>4</v>
      </c>
      <c r="E144" s="4" t="s">
        <v>5</v>
      </c>
      <c r="F144" s="4" t="s">
        <v>6</v>
      </c>
      <c r="G144" s="10" t="str" cm="1">
        <f t="array" ref="G144">_xlfn.IFS(E144="Apple","Fruits", E144="Orange Juice","Beverages", E144="Detergent","Household", E144="Shampoo","Personal Care", E144="Notebook","Stationery")</f>
        <v>Personal Care</v>
      </c>
      <c r="H144" s="12">
        <v>7</v>
      </c>
      <c r="I144" s="15">
        <v>125.01</v>
      </c>
      <c r="J144" s="14">
        <f t="shared" si="2"/>
        <v>875.07</v>
      </c>
    </row>
    <row r="145" spans="1:10" x14ac:dyDescent="0.35">
      <c r="A145" s="6">
        <v>144</v>
      </c>
      <c r="B145" s="4" t="s">
        <v>2</v>
      </c>
      <c r="C145" t="s">
        <v>14</v>
      </c>
      <c r="D145" s="4" t="s">
        <v>4</v>
      </c>
      <c r="E145" s="4" t="s">
        <v>5</v>
      </c>
      <c r="F145" s="4" t="s">
        <v>18</v>
      </c>
      <c r="G145" s="10" t="str" cm="1">
        <f t="array" ref="G145">_xlfn.IFS(E145="Apple","Fruits", E145="Orange Juice","Beverages", E145="Detergent","Household", E145="Shampoo","Personal Care", E145="Notebook","Stationery")</f>
        <v>Personal Care</v>
      </c>
      <c r="H145" s="12">
        <v>16</v>
      </c>
      <c r="I145" s="15">
        <v>166.41</v>
      </c>
      <c r="J145" s="14">
        <f t="shared" si="2"/>
        <v>2662.56</v>
      </c>
    </row>
    <row r="146" spans="1:10" x14ac:dyDescent="0.35">
      <c r="A146" s="6">
        <v>145</v>
      </c>
      <c r="B146" s="4" t="s">
        <v>7</v>
      </c>
      <c r="C146" t="s">
        <v>8</v>
      </c>
      <c r="D146" s="4" t="s">
        <v>9</v>
      </c>
      <c r="E146" s="4" t="s">
        <v>5</v>
      </c>
      <c r="F146" s="4" t="s">
        <v>13</v>
      </c>
      <c r="G146" s="10" t="str" cm="1">
        <f t="array" ref="G146">_xlfn.IFS(E146="Apple","Fruits", E146="Orange Juice","Beverages", E146="Detergent","Household", E146="Shampoo","Personal Care", E146="Notebook","Stationery")</f>
        <v>Personal Care</v>
      </c>
      <c r="H146" s="12">
        <v>2</v>
      </c>
      <c r="I146" s="15">
        <v>34.15</v>
      </c>
      <c r="J146" s="14">
        <f t="shared" si="2"/>
        <v>68.3</v>
      </c>
    </row>
    <row r="147" spans="1:10" x14ac:dyDescent="0.35">
      <c r="A147" s="6">
        <v>146</v>
      </c>
      <c r="B147" s="4" t="s">
        <v>2</v>
      </c>
      <c r="C147" t="s">
        <v>3</v>
      </c>
      <c r="D147" s="4" t="s">
        <v>4</v>
      </c>
      <c r="E147" s="4" t="s">
        <v>12</v>
      </c>
      <c r="F147" s="4" t="s">
        <v>11</v>
      </c>
      <c r="G147" s="10" t="str" cm="1">
        <f t="array" ref="G147">_xlfn.IFS(E147="Apple","Fruits", E147="Orange Juice","Beverages", E147="Detergent","Household", E147="Shampoo","Personal Care", E147="Notebook","Stationery")</f>
        <v>Fruits</v>
      </c>
      <c r="H147" s="12">
        <v>20</v>
      </c>
      <c r="I147" s="15">
        <v>244.39</v>
      </c>
      <c r="J147" s="14">
        <f t="shared" si="2"/>
        <v>4887.7999999999993</v>
      </c>
    </row>
    <row r="148" spans="1:10" x14ac:dyDescent="0.35">
      <c r="A148" s="6">
        <v>147</v>
      </c>
      <c r="B148" s="4" t="s">
        <v>2</v>
      </c>
      <c r="C148" t="s">
        <v>3</v>
      </c>
      <c r="D148" s="4" t="s">
        <v>9</v>
      </c>
      <c r="E148" s="4" t="s">
        <v>10</v>
      </c>
      <c r="F148" s="4" t="s">
        <v>18</v>
      </c>
      <c r="G148" s="10" t="str" cm="1">
        <f t="array" ref="G148">_xlfn.IFS(E148="Apple","Fruits", E148="Orange Juice","Beverages", E148="Detergent","Household", E148="Shampoo","Personal Care", E148="Notebook","Stationery")</f>
        <v>Stationery</v>
      </c>
      <c r="H148" s="12">
        <v>12</v>
      </c>
      <c r="I148" s="15">
        <v>64.33</v>
      </c>
      <c r="J148" s="14">
        <f t="shared" si="2"/>
        <v>771.96</v>
      </c>
    </row>
    <row r="149" spans="1:10" x14ac:dyDescent="0.35">
      <c r="A149" s="6">
        <v>148</v>
      </c>
      <c r="B149" s="4" t="s">
        <v>2</v>
      </c>
      <c r="C149" t="s">
        <v>14</v>
      </c>
      <c r="D149" s="4" t="s">
        <v>4</v>
      </c>
      <c r="E149" s="4" t="s">
        <v>10</v>
      </c>
      <c r="F149" s="4" t="s">
        <v>16</v>
      </c>
      <c r="G149" s="10" t="str" cm="1">
        <f t="array" ref="G149">_xlfn.IFS(E149="Apple","Fruits", E149="Orange Juice","Beverages", E149="Detergent","Household", E149="Shampoo","Personal Care", E149="Notebook","Stationery")</f>
        <v>Stationery</v>
      </c>
      <c r="H149" s="12">
        <v>9</v>
      </c>
      <c r="I149" s="15">
        <v>21.86</v>
      </c>
      <c r="J149" s="14">
        <f t="shared" si="2"/>
        <v>196.74</v>
      </c>
    </row>
    <row r="150" spans="1:10" x14ac:dyDescent="0.35">
      <c r="A150" s="6">
        <v>149</v>
      </c>
      <c r="B150" s="4" t="s">
        <v>2</v>
      </c>
      <c r="C150" t="s">
        <v>3</v>
      </c>
      <c r="D150" s="4" t="s">
        <v>4</v>
      </c>
      <c r="E150" s="4" t="s">
        <v>5</v>
      </c>
      <c r="F150" s="4" t="s">
        <v>6</v>
      </c>
      <c r="G150" s="10" t="str" cm="1">
        <f t="array" ref="G150">_xlfn.IFS(E150="Apple","Fruits", E150="Orange Juice","Beverages", E150="Detergent","Household", E150="Shampoo","Personal Care", E150="Notebook","Stationery")</f>
        <v>Personal Care</v>
      </c>
      <c r="H150" s="12">
        <v>19</v>
      </c>
      <c r="I150" s="15">
        <v>265.70999999999998</v>
      </c>
      <c r="J150" s="14">
        <f t="shared" si="2"/>
        <v>5048.49</v>
      </c>
    </row>
    <row r="151" spans="1:10" x14ac:dyDescent="0.35">
      <c r="A151" s="6">
        <v>150</v>
      </c>
      <c r="B151" s="4" t="s">
        <v>2</v>
      </c>
      <c r="C151" t="s">
        <v>3</v>
      </c>
      <c r="D151" s="4" t="s">
        <v>9</v>
      </c>
      <c r="E151" s="4" t="s">
        <v>10</v>
      </c>
      <c r="F151" s="4" t="s">
        <v>18</v>
      </c>
      <c r="G151" s="10" t="str" cm="1">
        <f t="array" ref="G151">_xlfn.IFS(E151="Apple","Fruits", E151="Orange Juice","Beverages", E151="Detergent","Household", E151="Shampoo","Personal Care", E151="Notebook","Stationery")</f>
        <v>Stationery</v>
      </c>
      <c r="H151" s="12">
        <v>14</v>
      </c>
      <c r="I151" s="15">
        <v>87.33</v>
      </c>
      <c r="J151" s="14">
        <f t="shared" si="2"/>
        <v>1222.6199999999999</v>
      </c>
    </row>
    <row r="152" spans="1:10" x14ac:dyDescent="0.35">
      <c r="A152" s="6">
        <v>151</v>
      </c>
      <c r="B152" s="4" t="s">
        <v>2</v>
      </c>
      <c r="C152" t="s">
        <v>14</v>
      </c>
      <c r="D152" s="4" t="s">
        <v>9</v>
      </c>
      <c r="E152" s="4" t="s">
        <v>5</v>
      </c>
      <c r="F152" s="4" t="s">
        <v>16</v>
      </c>
      <c r="G152" s="10" t="str" cm="1">
        <f t="array" ref="G152">_xlfn.IFS(E152="Apple","Fruits", E152="Orange Juice","Beverages", E152="Detergent","Household", E152="Shampoo","Personal Care", E152="Notebook","Stationery")</f>
        <v>Personal Care</v>
      </c>
      <c r="H152" s="12">
        <v>14</v>
      </c>
      <c r="I152" s="15">
        <v>300.5</v>
      </c>
      <c r="J152" s="14">
        <f t="shared" si="2"/>
        <v>4207</v>
      </c>
    </row>
    <row r="153" spans="1:10" x14ac:dyDescent="0.35">
      <c r="A153" s="6">
        <v>152</v>
      </c>
      <c r="B153" s="4" t="s">
        <v>2</v>
      </c>
      <c r="C153" t="s">
        <v>14</v>
      </c>
      <c r="D153" s="4" t="s">
        <v>9</v>
      </c>
      <c r="E153" s="4" t="s">
        <v>17</v>
      </c>
      <c r="F153" s="4" t="s">
        <v>16</v>
      </c>
      <c r="G153" s="10" t="str" cm="1">
        <f t="array" ref="G153">_xlfn.IFS(E153="Apple","Fruits", E153="Orange Juice","Beverages", E153="Detergent","Household", E153="Shampoo","Personal Care", E153="Notebook","Stationery")</f>
        <v>Beverages</v>
      </c>
      <c r="H153" s="12">
        <v>10</v>
      </c>
      <c r="I153" s="15">
        <v>212.82</v>
      </c>
      <c r="J153" s="14">
        <f t="shared" si="2"/>
        <v>2128.1999999999998</v>
      </c>
    </row>
    <row r="154" spans="1:10" x14ac:dyDescent="0.35">
      <c r="A154" s="6">
        <v>153</v>
      </c>
      <c r="B154" s="4" t="s">
        <v>2</v>
      </c>
      <c r="C154" t="s">
        <v>14</v>
      </c>
      <c r="D154" s="4" t="s">
        <v>9</v>
      </c>
      <c r="E154" s="4" t="s">
        <v>10</v>
      </c>
      <c r="F154" s="4" t="s">
        <v>6</v>
      </c>
      <c r="G154" s="10" t="str" cm="1">
        <f t="array" ref="G154">_xlfn.IFS(E154="Apple","Fruits", E154="Orange Juice","Beverages", E154="Detergent","Household", E154="Shampoo","Personal Care", E154="Notebook","Stationery")</f>
        <v>Stationery</v>
      </c>
      <c r="H154" s="12">
        <v>19</v>
      </c>
      <c r="I154" s="15">
        <v>113.03</v>
      </c>
      <c r="J154" s="14">
        <f t="shared" si="2"/>
        <v>2147.5700000000002</v>
      </c>
    </row>
    <row r="155" spans="1:10" x14ac:dyDescent="0.35">
      <c r="A155" s="6">
        <v>154</v>
      </c>
      <c r="B155" s="4" t="s">
        <v>7</v>
      </c>
      <c r="C155" t="s">
        <v>8</v>
      </c>
      <c r="D155" s="4" t="s">
        <v>9</v>
      </c>
      <c r="E155" s="4" t="s">
        <v>15</v>
      </c>
      <c r="F155" s="4" t="s">
        <v>11</v>
      </c>
      <c r="G155" s="10" t="str" cm="1">
        <f t="array" ref="G155">_xlfn.IFS(E155="Apple","Fruits", E155="Orange Juice","Beverages", E155="Detergent","Household", E155="Shampoo","Personal Care", E155="Notebook","Stationery")</f>
        <v>Household</v>
      </c>
      <c r="H155" s="12">
        <v>1</v>
      </c>
      <c r="I155" s="15">
        <v>18.41</v>
      </c>
      <c r="J155" s="14">
        <f t="shared" si="2"/>
        <v>18.41</v>
      </c>
    </row>
    <row r="156" spans="1:10" x14ac:dyDescent="0.35">
      <c r="A156" s="6">
        <v>155</v>
      </c>
      <c r="B156" s="4" t="s">
        <v>2</v>
      </c>
      <c r="C156" t="s">
        <v>14</v>
      </c>
      <c r="D156" s="4" t="s">
        <v>4</v>
      </c>
      <c r="E156" s="4" t="s">
        <v>12</v>
      </c>
      <c r="F156" s="4" t="s">
        <v>11</v>
      </c>
      <c r="G156" s="10" t="str" cm="1">
        <f t="array" ref="G156">_xlfn.IFS(E156="Apple","Fruits", E156="Orange Juice","Beverages", E156="Detergent","Household", E156="Shampoo","Personal Care", E156="Notebook","Stationery")</f>
        <v>Fruits</v>
      </c>
      <c r="H156" s="12">
        <v>11</v>
      </c>
      <c r="I156" s="15">
        <v>133.94</v>
      </c>
      <c r="J156" s="14">
        <f t="shared" si="2"/>
        <v>1473.34</v>
      </c>
    </row>
    <row r="157" spans="1:10" x14ac:dyDescent="0.35">
      <c r="A157" s="6">
        <v>156</v>
      </c>
      <c r="B157" s="4" t="s">
        <v>2</v>
      </c>
      <c r="C157" t="s">
        <v>14</v>
      </c>
      <c r="D157" s="4" t="s">
        <v>4</v>
      </c>
      <c r="E157" s="4" t="s">
        <v>17</v>
      </c>
      <c r="F157" s="4" t="s">
        <v>11</v>
      </c>
      <c r="G157" s="10" t="str" cm="1">
        <f t="array" ref="G157">_xlfn.IFS(E157="Apple","Fruits", E157="Orange Juice","Beverages", E157="Detergent","Household", E157="Shampoo","Personal Care", E157="Notebook","Stationery")</f>
        <v>Beverages</v>
      </c>
      <c r="H157" s="12">
        <v>20</v>
      </c>
      <c r="I157" s="15">
        <v>114.06</v>
      </c>
      <c r="J157" s="14">
        <f t="shared" si="2"/>
        <v>2281.1999999999998</v>
      </c>
    </row>
    <row r="158" spans="1:10" x14ac:dyDescent="0.35">
      <c r="A158" s="6">
        <v>157</v>
      </c>
      <c r="B158" s="4" t="s">
        <v>2</v>
      </c>
      <c r="C158" t="s">
        <v>3</v>
      </c>
      <c r="D158" s="4" t="s">
        <v>9</v>
      </c>
      <c r="E158" s="4" t="s">
        <v>5</v>
      </c>
      <c r="F158" s="4" t="s">
        <v>18</v>
      </c>
      <c r="G158" s="10" t="str" cm="1">
        <f t="array" ref="G158">_xlfn.IFS(E158="Apple","Fruits", E158="Orange Juice","Beverages", E158="Detergent","Household", E158="Shampoo","Personal Care", E158="Notebook","Stationery")</f>
        <v>Personal Care</v>
      </c>
      <c r="H158" s="12">
        <v>20</v>
      </c>
      <c r="I158" s="15">
        <v>402.11</v>
      </c>
      <c r="J158" s="14">
        <f t="shared" si="2"/>
        <v>8042.2000000000007</v>
      </c>
    </row>
    <row r="159" spans="1:10" x14ac:dyDescent="0.35">
      <c r="A159" s="6">
        <v>158</v>
      </c>
      <c r="B159" s="4" t="s">
        <v>2</v>
      </c>
      <c r="C159" t="s">
        <v>3</v>
      </c>
      <c r="D159" s="4" t="s">
        <v>9</v>
      </c>
      <c r="E159" s="4" t="s">
        <v>5</v>
      </c>
      <c r="F159" s="4" t="s">
        <v>13</v>
      </c>
      <c r="G159" s="10" t="str" cm="1">
        <f t="array" ref="G159">_xlfn.IFS(E159="Apple","Fruits", E159="Orange Juice","Beverages", E159="Detergent","Household", E159="Shampoo","Personal Care", E159="Notebook","Stationery")</f>
        <v>Personal Care</v>
      </c>
      <c r="H159" s="12">
        <v>1</v>
      </c>
      <c r="I159" s="15">
        <v>20.37</v>
      </c>
      <c r="J159" s="14">
        <f t="shared" si="2"/>
        <v>20.37</v>
      </c>
    </row>
    <row r="160" spans="1:10" x14ac:dyDescent="0.35">
      <c r="A160" s="6">
        <v>159</v>
      </c>
      <c r="B160" s="4" t="s">
        <v>2</v>
      </c>
      <c r="C160" t="s">
        <v>3</v>
      </c>
      <c r="D160" s="4" t="s">
        <v>9</v>
      </c>
      <c r="E160" s="4" t="s">
        <v>10</v>
      </c>
      <c r="F160" s="4" t="s">
        <v>16</v>
      </c>
      <c r="G160" s="10" t="str" cm="1">
        <f t="array" ref="G160">_xlfn.IFS(E160="Apple","Fruits", E160="Orange Juice","Beverages", E160="Detergent","Household", E160="Shampoo","Personal Care", E160="Notebook","Stationery")</f>
        <v>Stationery</v>
      </c>
      <c r="H160" s="12">
        <v>11</v>
      </c>
      <c r="I160" s="15">
        <v>233.28</v>
      </c>
      <c r="J160" s="14">
        <f t="shared" si="2"/>
        <v>2566.08</v>
      </c>
    </row>
    <row r="161" spans="1:10" x14ac:dyDescent="0.35">
      <c r="A161" s="6">
        <v>160</v>
      </c>
      <c r="B161" s="4" t="s">
        <v>2</v>
      </c>
      <c r="C161" t="s">
        <v>14</v>
      </c>
      <c r="D161" s="4" t="s">
        <v>4</v>
      </c>
      <c r="E161" s="4" t="s">
        <v>17</v>
      </c>
      <c r="F161" s="4" t="s">
        <v>16</v>
      </c>
      <c r="G161" s="10" t="str" cm="1">
        <f t="array" ref="G161">_xlfn.IFS(E161="Apple","Fruits", E161="Orange Juice","Beverages", E161="Detergent","Household", E161="Shampoo","Personal Care", E161="Notebook","Stationery")</f>
        <v>Beverages</v>
      </c>
      <c r="H161" s="12">
        <v>2</v>
      </c>
      <c r="I161" s="15">
        <v>19.920000000000002</v>
      </c>
      <c r="J161" s="14">
        <f t="shared" si="2"/>
        <v>39.840000000000003</v>
      </c>
    </row>
    <row r="162" spans="1:10" x14ac:dyDescent="0.35">
      <c r="A162" s="6">
        <v>161</v>
      </c>
      <c r="B162" s="4" t="s">
        <v>2</v>
      </c>
      <c r="C162" t="s">
        <v>14</v>
      </c>
      <c r="D162" s="4" t="s">
        <v>4</v>
      </c>
      <c r="E162" s="4" t="s">
        <v>17</v>
      </c>
      <c r="F162" s="4" t="s">
        <v>11</v>
      </c>
      <c r="G162" s="10" t="str" cm="1">
        <f t="array" ref="G162">_xlfn.IFS(E162="Apple","Fruits", E162="Orange Juice","Beverages", E162="Detergent","Household", E162="Shampoo","Personal Care", E162="Notebook","Stationery")</f>
        <v>Beverages</v>
      </c>
      <c r="H162" s="12">
        <v>19</v>
      </c>
      <c r="I162" s="15">
        <v>425.1</v>
      </c>
      <c r="J162" s="14">
        <f t="shared" si="2"/>
        <v>8076.9000000000005</v>
      </c>
    </row>
    <row r="163" spans="1:10" x14ac:dyDescent="0.35">
      <c r="A163" s="6">
        <v>162</v>
      </c>
      <c r="B163" s="4" t="s">
        <v>2</v>
      </c>
      <c r="C163" t="s">
        <v>3</v>
      </c>
      <c r="D163" s="4" t="s">
        <v>4</v>
      </c>
      <c r="E163" s="4" t="s">
        <v>5</v>
      </c>
      <c r="F163" s="4" t="s">
        <v>13</v>
      </c>
      <c r="G163" s="10" t="str" cm="1">
        <f t="array" ref="G163">_xlfn.IFS(E163="Apple","Fruits", E163="Orange Juice","Beverages", E163="Detergent","Household", E163="Shampoo","Personal Care", E163="Notebook","Stationery")</f>
        <v>Personal Care</v>
      </c>
      <c r="H163" s="12">
        <v>4</v>
      </c>
      <c r="I163" s="15">
        <v>64.459999999999994</v>
      </c>
      <c r="J163" s="14">
        <f t="shared" si="2"/>
        <v>257.83999999999997</v>
      </c>
    </row>
    <row r="164" spans="1:10" x14ac:dyDescent="0.35">
      <c r="A164" s="6">
        <v>163</v>
      </c>
      <c r="B164" s="4" t="s">
        <v>7</v>
      </c>
      <c r="C164" t="s">
        <v>8</v>
      </c>
      <c r="D164" s="4" t="s">
        <v>9</v>
      </c>
      <c r="E164" s="4" t="s">
        <v>17</v>
      </c>
      <c r="F164" s="4" t="s">
        <v>13</v>
      </c>
      <c r="G164" s="10" t="str" cm="1">
        <f t="array" ref="G164">_xlfn.IFS(E164="Apple","Fruits", E164="Orange Juice","Beverages", E164="Detergent","Household", E164="Shampoo","Personal Care", E164="Notebook","Stationery")</f>
        <v>Beverages</v>
      </c>
      <c r="H164" s="12">
        <v>11</v>
      </c>
      <c r="I164" s="15">
        <v>207.27</v>
      </c>
      <c r="J164" s="14">
        <f t="shared" si="2"/>
        <v>2279.9700000000003</v>
      </c>
    </row>
    <row r="165" spans="1:10" x14ac:dyDescent="0.35">
      <c r="A165" s="6">
        <v>164</v>
      </c>
      <c r="B165" s="4" t="s">
        <v>7</v>
      </c>
      <c r="C165" t="s">
        <v>8</v>
      </c>
      <c r="D165" s="4" t="s">
        <v>9</v>
      </c>
      <c r="E165" s="4" t="s">
        <v>10</v>
      </c>
      <c r="F165" s="4" t="s">
        <v>6</v>
      </c>
      <c r="G165" s="10" t="str" cm="1">
        <f t="array" ref="G165">_xlfn.IFS(E165="Apple","Fruits", E165="Orange Juice","Beverages", E165="Detergent","Household", E165="Shampoo","Personal Care", E165="Notebook","Stationery")</f>
        <v>Stationery</v>
      </c>
      <c r="H165" s="12">
        <v>8</v>
      </c>
      <c r="I165" s="15">
        <v>177.71</v>
      </c>
      <c r="J165" s="14">
        <f t="shared" si="2"/>
        <v>1421.68</v>
      </c>
    </row>
    <row r="166" spans="1:10" x14ac:dyDescent="0.35">
      <c r="A166" s="6">
        <v>165</v>
      </c>
      <c r="B166" s="4" t="s">
        <v>2</v>
      </c>
      <c r="C166" t="s">
        <v>14</v>
      </c>
      <c r="D166" s="4" t="s">
        <v>4</v>
      </c>
      <c r="E166" s="4" t="s">
        <v>15</v>
      </c>
      <c r="F166" s="4" t="s">
        <v>11</v>
      </c>
      <c r="G166" s="10" t="str" cm="1">
        <f t="array" ref="G166">_xlfn.IFS(E166="Apple","Fruits", E166="Orange Juice","Beverages", E166="Detergent","Household", E166="Shampoo","Personal Care", E166="Notebook","Stationery")</f>
        <v>Household</v>
      </c>
      <c r="H166" s="12">
        <v>18</v>
      </c>
      <c r="I166" s="15">
        <v>229.58</v>
      </c>
      <c r="J166" s="14">
        <f t="shared" si="2"/>
        <v>4132.4400000000005</v>
      </c>
    </row>
    <row r="167" spans="1:10" x14ac:dyDescent="0.35">
      <c r="A167" s="6">
        <v>166</v>
      </c>
      <c r="B167" s="4" t="s">
        <v>7</v>
      </c>
      <c r="C167" t="s">
        <v>8</v>
      </c>
      <c r="D167" s="4" t="s">
        <v>9</v>
      </c>
      <c r="E167" s="4" t="s">
        <v>15</v>
      </c>
      <c r="F167" s="4" t="s">
        <v>6</v>
      </c>
      <c r="G167" s="10" t="str" cm="1">
        <f t="array" ref="G167">_xlfn.IFS(E167="Apple","Fruits", E167="Orange Juice","Beverages", E167="Detergent","Household", E167="Shampoo","Personal Care", E167="Notebook","Stationery")</f>
        <v>Household</v>
      </c>
      <c r="H167" s="12">
        <v>18</v>
      </c>
      <c r="I167" s="15">
        <v>272.91000000000003</v>
      </c>
      <c r="J167" s="14">
        <f t="shared" si="2"/>
        <v>4912.38</v>
      </c>
    </row>
    <row r="168" spans="1:10" x14ac:dyDescent="0.35">
      <c r="A168" s="6">
        <v>167</v>
      </c>
      <c r="B168" s="4" t="s">
        <v>7</v>
      </c>
      <c r="C168" t="s">
        <v>8</v>
      </c>
      <c r="D168" s="4" t="s">
        <v>9</v>
      </c>
      <c r="E168" s="4" t="s">
        <v>12</v>
      </c>
      <c r="F168" s="4" t="s">
        <v>11</v>
      </c>
      <c r="G168" s="10" t="str" cm="1">
        <f t="array" ref="G168">_xlfn.IFS(E168="Apple","Fruits", E168="Orange Juice","Beverages", E168="Detergent","Household", E168="Shampoo","Personal Care", E168="Notebook","Stationery")</f>
        <v>Fruits</v>
      </c>
      <c r="H168" s="12">
        <v>10</v>
      </c>
      <c r="I168" s="15">
        <v>70.19</v>
      </c>
      <c r="J168" s="14">
        <f t="shared" si="2"/>
        <v>701.9</v>
      </c>
    </row>
    <row r="169" spans="1:10" x14ac:dyDescent="0.35">
      <c r="A169" s="6">
        <v>168</v>
      </c>
      <c r="B169" s="4" t="s">
        <v>2</v>
      </c>
      <c r="C169" t="s">
        <v>14</v>
      </c>
      <c r="D169" s="4" t="s">
        <v>4</v>
      </c>
      <c r="E169" s="4" t="s">
        <v>15</v>
      </c>
      <c r="F169" s="4" t="s">
        <v>18</v>
      </c>
      <c r="G169" s="10" t="str" cm="1">
        <f t="array" ref="G169">_xlfn.IFS(E169="Apple","Fruits", E169="Orange Juice","Beverages", E169="Detergent","Household", E169="Shampoo","Personal Care", E169="Notebook","Stationery")</f>
        <v>Household</v>
      </c>
      <c r="H169" s="12">
        <v>12</v>
      </c>
      <c r="I169" s="15">
        <v>123.65</v>
      </c>
      <c r="J169" s="14">
        <f t="shared" si="2"/>
        <v>1483.8000000000002</v>
      </c>
    </row>
    <row r="170" spans="1:10" x14ac:dyDescent="0.35">
      <c r="A170" s="6">
        <v>169</v>
      </c>
      <c r="B170" s="4" t="s">
        <v>2</v>
      </c>
      <c r="C170" t="s">
        <v>3</v>
      </c>
      <c r="D170" s="4" t="s">
        <v>4</v>
      </c>
      <c r="E170" s="4" t="s">
        <v>17</v>
      </c>
      <c r="F170" s="4" t="s">
        <v>16</v>
      </c>
      <c r="G170" s="10" t="str" cm="1">
        <f t="array" ref="G170">_xlfn.IFS(E170="Apple","Fruits", E170="Orange Juice","Beverages", E170="Detergent","Household", E170="Shampoo","Personal Care", E170="Notebook","Stationery")</f>
        <v>Beverages</v>
      </c>
      <c r="H170" s="12">
        <v>4</v>
      </c>
      <c r="I170" s="15">
        <v>77</v>
      </c>
      <c r="J170" s="14">
        <f t="shared" si="2"/>
        <v>308</v>
      </c>
    </row>
    <row r="171" spans="1:10" x14ac:dyDescent="0.35">
      <c r="A171" s="6">
        <v>170</v>
      </c>
      <c r="B171" s="4" t="s">
        <v>7</v>
      </c>
      <c r="C171" t="s">
        <v>8</v>
      </c>
      <c r="D171" s="4" t="s">
        <v>9</v>
      </c>
      <c r="E171" s="4" t="s">
        <v>15</v>
      </c>
      <c r="F171" s="4" t="s">
        <v>13</v>
      </c>
      <c r="G171" s="10" t="str" cm="1">
        <f t="array" ref="G171">_xlfn.IFS(E171="Apple","Fruits", E171="Orange Juice","Beverages", E171="Detergent","Household", E171="Shampoo","Personal Care", E171="Notebook","Stationery")</f>
        <v>Household</v>
      </c>
      <c r="H171" s="12">
        <v>12</v>
      </c>
      <c r="I171" s="15">
        <v>68.819999999999993</v>
      </c>
      <c r="J171" s="14">
        <f t="shared" si="2"/>
        <v>825.83999999999992</v>
      </c>
    </row>
    <row r="172" spans="1:10" x14ac:dyDescent="0.35">
      <c r="A172" s="6">
        <v>171</v>
      </c>
      <c r="B172" s="4" t="s">
        <v>2</v>
      </c>
      <c r="C172" t="s">
        <v>3</v>
      </c>
      <c r="D172" s="4" t="s">
        <v>4</v>
      </c>
      <c r="E172" s="4" t="s">
        <v>17</v>
      </c>
      <c r="F172" s="4" t="s">
        <v>13</v>
      </c>
      <c r="G172" s="10" t="str" cm="1">
        <f t="array" ref="G172">_xlfn.IFS(E172="Apple","Fruits", E172="Orange Juice","Beverages", E172="Detergent","Household", E172="Shampoo","Personal Care", E172="Notebook","Stationery")</f>
        <v>Beverages</v>
      </c>
      <c r="H172" s="12">
        <v>5</v>
      </c>
      <c r="I172" s="15">
        <v>61.69</v>
      </c>
      <c r="J172" s="14">
        <f t="shared" si="2"/>
        <v>308.45</v>
      </c>
    </row>
    <row r="173" spans="1:10" x14ac:dyDescent="0.35">
      <c r="A173" s="6">
        <v>172</v>
      </c>
      <c r="B173" s="4" t="s">
        <v>7</v>
      </c>
      <c r="C173" t="s">
        <v>8</v>
      </c>
      <c r="D173" s="4" t="s">
        <v>9</v>
      </c>
      <c r="E173" s="4" t="s">
        <v>5</v>
      </c>
      <c r="F173" s="4" t="s">
        <v>13</v>
      </c>
      <c r="G173" s="10" t="str" cm="1">
        <f t="array" ref="G173">_xlfn.IFS(E173="Apple","Fruits", E173="Orange Juice","Beverages", E173="Detergent","Household", E173="Shampoo","Personal Care", E173="Notebook","Stationery")</f>
        <v>Personal Care</v>
      </c>
      <c r="H173" s="12">
        <v>15</v>
      </c>
      <c r="I173" s="15">
        <v>237.86</v>
      </c>
      <c r="J173" s="14">
        <f t="shared" si="2"/>
        <v>3567.9</v>
      </c>
    </row>
    <row r="174" spans="1:10" x14ac:dyDescent="0.35">
      <c r="A174" s="6">
        <v>173</v>
      </c>
      <c r="B174" s="4" t="s">
        <v>2</v>
      </c>
      <c r="C174" t="s">
        <v>3</v>
      </c>
      <c r="D174" s="4" t="s">
        <v>4</v>
      </c>
      <c r="E174" s="4" t="s">
        <v>12</v>
      </c>
      <c r="F174" s="4" t="s">
        <v>13</v>
      </c>
      <c r="G174" s="10" t="str" cm="1">
        <f t="array" ref="G174">_xlfn.IFS(E174="Apple","Fruits", E174="Orange Juice","Beverages", E174="Detergent","Household", E174="Shampoo","Personal Care", E174="Notebook","Stationery")</f>
        <v>Fruits</v>
      </c>
      <c r="H174" s="12">
        <v>20</v>
      </c>
      <c r="I174" s="15">
        <v>317.36</v>
      </c>
      <c r="J174" s="14">
        <f t="shared" si="2"/>
        <v>6347.2000000000007</v>
      </c>
    </row>
    <row r="175" spans="1:10" x14ac:dyDescent="0.35">
      <c r="A175" s="6">
        <v>174</v>
      </c>
      <c r="B175" s="4" t="s">
        <v>7</v>
      </c>
      <c r="C175" t="s">
        <v>8</v>
      </c>
      <c r="D175" s="4" t="s">
        <v>4</v>
      </c>
      <c r="E175" s="4" t="s">
        <v>5</v>
      </c>
      <c r="F175" s="4" t="s">
        <v>11</v>
      </c>
      <c r="G175" s="10" t="str" cm="1">
        <f t="array" ref="G175">_xlfn.IFS(E175="Apple","Fruits", E175="Orange Juice","Beverages", E175="Detergent","Household", E175="Shampoo","Personal Care", E175="Notebook","Stationery")</f>
        <v>Personal Care</v>
      </c>
      <c r="H175" s="12">
        <v>3</v>
      </c>
      <c r="I175" s="15">
        <v>16.34</v>
      </c>
      <c r="J175" s="14">
        <f t="shared" si="2"/>
        <v>49.019999999999996</v>
      </c>
    </row>
    <row r="176" spans="1:10" x14ac:dyDescent="0.35">
      <c r="A176" s="6">
        <v>175</v>
      </c>
      <c r="B176" s="4" t="s">
        <v>2</v>
      </c>
      <c r="C176" t="s">
        <v>3</v>
      </c>
      <c r="D176" s="4" t="s">
        <v>9</v>
      </c>
      <c r="E176" s="4" t="s">
        <v>15</v>
      </c>
      <c r="F176" s="4" t="s">
        <v>16</v>
      </c>
      <c r="G176" s="10" t="str" cm="1">
        <f t="array" ref="G176">_xlfn.IFS(E176="Apple","Fruits", E176="Orange Juice","Beverages", E176="Detergent","Household", E176="Shampoo","Personal Care", E176="Notebook","Stationery")</f>
        <v>Household</v>
      </c>
      <c r="H176" s="12">
        <v>15</v>
      </c>
      <c r="I176" s="15">
        <v>277.99</v>
      </c>
      <c r="J176" s="14">
        <f t="shared" si="2"/>
        <v>4169.8500000000004</v>
      </c>
    </row>
    <row r="177" spans="1:10" x14ac:dyDescent="0.35">
      <c r="A177" s="6">
        <v>176</v>
      </c>
      <c r="B177" s="4" t="s">
        <v>7</v>
      </c>
      <c r="C177" t="s">
        <v>8</v>
      </c>
      <c r="D177" s="4" t="s">
        <v>4</v>
      </c>
      <c r="E177" s="4" t="s">
        <v>5</v>
      </c>
      <c r="F177" s="4" t="s">
        <v>13</v>
      </c>
      <c r="G177" s="10" t="str" cm="1">
        <f t="array" ref="G177">_xlfn.IFS(E177="Apple","Fruits", E177="Orange Juice","Beverages", E177="Detergent","Household", E177="Shampoo","Personal Care", E177="Notebook","Stationery")</f>
        <v>Personal Care</v>
      </c>
      <c r="H177" s="12">
        <v>1</v>
      </c>
      <c r="I177" s="15">
        <v>15.31</v>
      </c>
      <c r="J177" s="14">
        <f t="shared" si="2"/>
        <v>15.31</v>
      </c>
    </row>
    <row r="178" spans="1:10" x14ac:dyDescent="0.35">
      <c r="A178" s="6">
        <v>177</v>
      </c>
      <c r="B178" s="4" t="s">
        <v>7</v>
      </c>
      <c r="C178" t="s">
        <v>8</v>
      </c>
      <c r="D178" s="4" t="s">
        <v>4</v>
      </c>
      <c r="E178" s="4" t="s">
        <v>17</v>
      </c>
      <c r="F178" s="4" t="s">
        <v>13</v>
      </c>
      <c r="G178" s="10" t="str" cm="1">
        <f t="array" ref="G178">_xlfn.IFS(E178="Apple","Fruits", E178="Orange Juice","Beverages", E178="Detergent","Household", E178="Shampoo","Personal Care", E178="Notebook","Stationery")</f>
        <v>Beverages</v>
      </c>
      <c r="H178" s="12">
        <v>10</v>
      </c>
      <c r="I178" s="15">
        <v>12.95</v>
      </c>
      <c r="J178" s="14">
        <f t="shared" si="2"/>
        <v>129.5</v>
      </c>
    </row>
    <row r="179" spans="1:10" x14ac:dyDescent="0.35">
      <c r="A179" s="6">
        <v>178</v>
      </c>
      <c r="B179" s="4" t="s">
        <v>2</v>
      </c>
      <c r="C179" t="s">
        <v>14</v>
      </c>
      <c r="D179" s="4" t="s">
        <v>4</v>
      </c>
      <c r="E179" s="4" t="s">
        <v>10</v>
      </c>
      <c r="F179" s="4" t="s">
        <v>6</v>
      </c>
      <c r="G179" s="10" t="str" cm="1">
        <f t="array" ref="G179">_xlfn.IFS(E179="Apple","Fruits", E179="Orange Juice","Beverages", E179="Detergent","Household", E179="Shampoo","Personal Care", E179="Notebook","Stationery")</f>
        <v>Stationery</v>
      </c>
      <c r="H179" s="12">
        <v>10</v>
      </c>
      <c r="I179" s="15">
        <v>126.8</v>
      </c>
      <c r="J179" s="14">
        <f t="shared" si="2"/>
        <v>1268</v>
      </c>
    </row>
    <row r="180" spans="1:10" x14ac:dyDescent="0.35">
      <c r="A180" s="6">
        <v>179</v>
      </c>
      <c r="B180" s="4" t="s">
        <v>2</v>
      </c>
      <c r="C180" t="s">
        <v>3</v>
      </c>
      <c r="D180" s="4" t="s">
        <v>4</v>
      </c>
      <c r="E180" s="4" t="s">
        <v>10</v>
      </c>
      <c r="F180" s="4" t="s">
        <v>13</v>
      </c>
      <c r="G180" s="10" t="str" cm="1">
        <f t="array" ref="G180">_xlfn.IFS(E180="Apple","Fruits", E180="Orange Juice","Beverages", E180="Detergent","Household", E180="Shampoo","Personal Care", E180="Notebook","Stationery")</f>
        <v>Stationery</v>
      </c>
      <c r="H180" s="12">
        <v>3</v>
      </c>
      <c r="I180" s="15">
        <v>14.77</v>
      </c>
      <c r="J180" s="14">
        <f t="shared" si="2"/>
        <v>44.31</v>
      </c>
    </row>
    <row r="181" spans="1:10" x14ac:dyDescent="0.35">
      <c r="A181" s="6">
        <v>180</v>
      </c>
      <c r="B181" s="4" t="s">
        <v>7</v>
      </c>
      <c r="C181" t="s">
        <v>8</v>
      </c>
      <c r="D181" s="4" t="s">
        <v>4</v>
      </c>
      <c r="E181" s="4" t="s">
        <v>17</v>
      </c>
      <c r="F181" s="4" t="s">
        <v>16</v>
      </c>
      <c r="G181" s="10" t="str" cm="1">
        <f t="array" ref="G181">_xlfn.IFS(E181="Apple","Fruits", E181="Orange Juice","Beverages", E181="Detergent","Household", E181="Shampoo","Personal Care", E181="Notebook","Stationery")</f>
        <v>Beverages</v>
      </c>
      <c r="H181" s="12">
        <v>4</v>
      </c>
      <c r="I181" s="15">
        <v>29.02</v>
      </c>
      <c r="J181" s="14">
        <f t="shared" si="2"/>
        <v>116.08</v>
      </c>
    </row>
    <row r="182" spans="1:10" x14ac:dyDescent="0.35">
      <c r="A182" s="6">
        <v>181</v>
      </c>
      <c r="B182" s="4" t="s">
        <v>7</v>
      </c>
      <c r="C182" t="s">
        <v>8</v>
      </c>
      <c r="D182" s="4" t="s">
        <v>4</v>
      </c>
      <c r="E182" s="4" t="s">
        <v>10</v>
      </c>
      <c r="F182" s="4" t="s">
        <v>13</v>
      </c>
      <c r="G182" s="10" t="str" cm="1">
        <f t="array" ref="G182">_xlfn.IFS(E182="Apple","Fruits", E182="Orange Juice","Beverages", E182="Detergent","Household", E182="Shampoo","Personal Care", E182="Notebook","Stationery")</f>
        <v>Stationery</v>
      </c>
      <c r="H182" s="12">
        <v>17</v>
      </c>
      <c r="I182" s="15">
        <v>275.20999999999998</v>
      </c>
      <c r="J182" s="14">
        <f t="shared" si="2"/>
        <v>4678.57</v>
      </c>
    </row>
    <row r="183" spans="1:10" x14ac:dyDescent="0.35">
      <c r="A183" s="6">
        <v>182</v>
      </c>
      <c r="B183" s="4" t="s">
        <v>2</v>
      </c>
      <c r="C183" t="s">
        <v>3</v>
      </c>
      <c r="D183" s="4" t="s">
        <v>9</v>
      </c>
      <c r="E183" s="4" t="s">
        <v>15</v>
      </c>
      <c r="F183" s="4" t="s">
        <v>11</v>
      </c>
      <c r="G183" s="10" t="str" cm="1">
        <f t="array" ref="G183">_xlfn.IFS(E183="Apple","Fruits", E183="Orange Juice","Beverages", E183="Detergent","Household", E183="Shampoo","Personal Care", E183="Notebook","Stationery")</f>
        <v>Household</v>
      </c>
      <c r="H183" s="12">
        <v>8</v>
      </c>
      <c r="I183" s="15">
        <v>26.88</v>
      </c>
      <c r="J183" s="14">
        <f t="shared" si="2"/>
        <v>215.04</v>
      </c>
    </row>
    <row r="184" spans="1:10" x14ac:dyDescent="0.35">
      <c r="A184" s="6">
        <v>183</v>
      </c>
      <c r="B184" s="4" t="s">
        <v>2</v>
      </c>
      <c r="C184" t="s">
        <v>14</v>
      </c>
      <c r="D184" s="4" t="s">
        <v>9</v>
      </c>
      <c r="E184" s="4" t="s">
        <v>10</v>
      </c>
      <c r="F184" s="4" t="s">
        <v>11</v>
      </c>
      <c r="G184" s="10" t="str" cm="1">
        <f t="array" ref="G184">_xlfn.IFS(E184="Apple","Fruits", E184="Orange Juice","Beverages", E184="Detergent","Household", E184="Shampoo","Personal Care", E184="Notebook","Stationery")</f>
        <v>Stationery</v>
      </c>
      <c r="H184" s="12">
        <v>15</v>
      </c>
      <c r="I184" s="15">
        <v>70.14</v>
      </c>
      <c r="J184" s="14">
        <f t="shared" si="2"/>
        <v>1052.0999999999999</v>
      </c>
    </row>
    <row r="185" spans="1:10" x14ac:dyDescent="0.35">
      <c r="A185" s="6">
        <v>184</v>
      </c>
      <c r="B185" s="4" t="s">
        <v>2</v>
      </c>
      <c r="C185" t="s">
        <v>3</v>
      </c>
      <c r="D185" s="4" t="s">
        <v>4</v>
      </c>
      <c r="E185" s="4" t="s">
        <v>5</v>
      </c>
      <c r="F185" s="4" t="s">
        <v>13</v>
      </c>
      <c r="G185" s="10" t="str" cm="1">
        <f t="array" ref="G185">_xlfn.IFS(E185="Apple","Fruits", E185="Orange Juice","Beverages", E185="Detergent","Household", E185="Shampoo","Personal Care", E185="Notebook","Stationery")</f>
        <v>Personal Care</v>
      </c>
      <c r="H185" s="12">
        <v>14</v>
      </c>
      <c r="I185" s="15">
        <v>280.13</v>
      </c>
      <c r="J185" s="14">
        <f t="shared" si="2"/>
        <v>3921.8199999999997</v>
      </c>
    </row>
    <row r="186" spans="1:10" x14ac:dyDescent="0.35">
      <c r="A186" s="6">
        <v>185</v>
      </c>
      <c r="B186" s="4" t="s">
        <v>2</v>
      </c>
      <c r="C186" t="s">
        <v>14</v>
      </c>
      <c r="D186" s="4" t="s">
        <v>4</v>
      </c>
      <c r="E186" s="4" t="s">
        <v>10</v>
      </c>
      <c r="F186" s="4" t="s">
        <v>18</v>
      </c>
      <c r="G186" s="10" t="str" cm="1">
        <f t="array" ref="G186">_xlfn.IFS(E186="Apple","Fruits", E186="Orange Juice","Beverages", E186="Detergent","Household", E186="Shampoo","Personal Care", E186="Notebook","Stationery")</f>
        <v>Stationery</v>
      </c>
      <c r="H186" s="12">
        <v>16</v>
      </c>
      <c r="I186" s="15">
        <v>327.33</v>
      </c>
      <c r="J186" s="14">
        <f t="shared" si="2"/>
        <v>5237.28</v>
      </c>
    </row>
    <row r="187" spans="1:10" x14ac:dyDescent="0.35">
      <c r="A187" s="6">
        <v>186</v>
      </c>
      <c r="B187" s="4" t="s">
        <v>7</v>
      </c>
      <c r="C187" t="s">
        <v>8</v>
      </c>
      <c r="D187" s="4" t="s">
        <v>4</v>
      </c>
      <c r="E187" s="4" t="s">
        <v>10</v>
      </c>
      <c r="F187" s="4" t="s">
        <v>18</v>
      </c>
      <c r="G187" s="10" t="str" cm="1">
        <f t="array" ref="G187">_xlfn.IFS(E187="Apple","Fruits", E187="Orange Juice","Beverages", E187="Detergent","Household", E187="Shampoo","Personal Care", E187="Notebook","Stationery")</f>
        <v>Stationery</v>
      </c>
      <c r="H187" s="12">
        <v>3</v>
      </c>
      <c r="I187" s="15">
        <v>38.49</v>
      </c>
      <c r="J187" s="14">
        <f t="shared" si="2"/>
        <v>115.47</v>
      </c>
    </row>
    <row r="188" spans="1:10" x14ac:dyDescent="0.35">
      <c r="A188" s="6">
        <v>187</v>
      </c>
      <c r="B188" s="4" t="s">
        <v>2</v>
      </c>
      <c r="C188" t="s">
        <v>3</v>
      </c>
      <c r="D188" s="4" t="s">
        <v>4</v>
      </c>
      <c r="E188" s="4" t="s">
        <v>10</v>
      </c>
      <c r="F188" s="4" t="s">
        <v>13</v>
      </c>
      <c r="G188" s="10" t="str" cm="1">
        <f t="array" ref="G188">_xlfn.IFS(E188="Apple","Fruits", E188="Orange Juice","Beverages", E188="Detergent","Household", E188="Shampoo","Personal Care", E188="Notebook","Stationery")</f>
        <v>Stationery</v>
      </c>
      <c r="H188" s="12">
        <v>15</v>
      </c>
      <c r="I188" s="15">
        <v>156.01</v>
      </c>
      <c r="J188" s="14">
        <f t="shared" si="2"/>
        <v>2340.1499999999996</v>
      </c>
    </row>
    <row r="189" spans="1:10" x14ac:dyDescent="0.35">
      <c r="A189" s="6">
        <v>188</v>
      </c>
      <c r="B189" s="4" t="s">
        <v>2</v>
      </c>
      <c r="C189" t="s">
        <v>14</v>
      </c>
      <c r="D189" s="4" t="s">
        <v>9</v>
      </c>
      <c r="E189" s="4" t="s">
        <v>10</v>
      </c>
      <c r="F189" s="4" t="s">
        <v>16</v>
      </c>
      <c r="G189" s="10" t="str" cm="1">
        <f t="array" ref="G189">_xlfn.IFS(E189="Apple","Fruits", E189="Orange Juice","Beverages", E189="Detergent","Household", E189="Shampoo","Personal Care", E189="Notebook","Stationery")</f>
        <v>Stationery</v>
      </c>
      <c r="H189" s="12">
        <v>5</v>
      </c>
      <c r="I189" s="15">
        <v>30.6</v>
      </c>
      <c r="J189" s="14">
        <f t="shared" si="2"/>
        <v>153</v>
      </c>
    </row>
    <row r="190" spans="1:10" x14ac:dyDescent="0.35">
      <c r="A190" s="6">
        <v>189</v>
      </c>
      <c r="B190" s="4" t="s">
        <v>2</v>
      </c>
      <c r="C190" t="s">
        <v>14</v>
      </c>
      <c r="D190" s="4" t="s">
        <v>4</v>
      </c>
      <c r="E190" s="4" t="s">
        <v>5</v>
      </c>
      <c r="F190" s="4" t="s">
        <v>16</v>
      </c>
      <c r="G190" s="10" t="str" cm="1">
        <f t="array" ref="G190">_xlfn.IFS(E190="Apple","Fruits", E190="Orange Juice","Beverages", E190="Detergent","Household", E190="Shampoo","Personal Care", E190="Notebook","Stationery")</f>
        <v>Personal Care</v>
      </c>
      <c r="H190" s="12">
        <v>3</v>
      </c>
      <c r="I190" s="15">
        <v>47.73</v>
      </c>
      <c r="J190" s="14">
        <f t="shared" si="2"/>
        <v>143.19</v>
      </c>
    </row>
    <row r="191" spans="1:10" x14ac:dyDescent="0.35">
      <c r="A191" s="6">
        <v>190</v>
      </c>
      <c r="B191" s="4" t="s">
        <v>7</v>
      </c>
      <c r="C191" t="s">
        <v>8</v>
      </c>
      <c r="D191" s="4" t="s">
        <v>4</v>
      </c>
      <c r="E191" s="4" t="s">
        <v>5</v>
      </c>
      <c r="F191" s="4" t="s">
        <v>13</v>
      </c>
      <c r="G191" s="10" t="str" cm="1">
        <f t="array" ref="G191">_xlfn.IFS(E191="Apple","Fruits", E191="Orange Juice","Beverages", E191="Detergent","Household", E191="Shampoo","Personal Care", E191="Notebook","Stationery")</f>
        <v>Personal Care</v>
      </c>
      <c r="H191" s="12">
        <v>11</v>
      </c>
      <c r="I191" s="15">
        <v>113.7</v>
      </c>
      <c r="J191" s="14">
        <f t="shared" si="2"/>
        <v>1250.7</v>
      </c>
    </row>
    <row r="192" spans="1:10" x14ac:dyDescent="0.35">
      <c r="A192" s="6">
        <v>191</v>
      </c>
      <c r="B192" s="4" t="s">
        <v>2</v>
      </c>
      <c r="C192" t="s">
        <v>3</v>
      </c>
      <c r="D192" s="4" t="s">
        <v>4</v>
      </c>
      <c r="E192" s="4" t="s">
        <v>17</v>
      </c>
      <c r="F192" s="4" t="s">
        <v>11</v>
      </c>
      <c r="G192" s="10" t="str" cm="1">
        <f t="array" ref="G192">_xlfn.IFS(E192="Apple","Fruits", E192="Orange Juice","Beverages", E192="Detergent","Household", E192="Shampoo","Personal Care", E192="Notebook","Stationery")</f>
        <v>Beverages</v>
      </c>
      <c r="H192" s="12">
        <v>13</v>
      </c>
      <c r="I192" s="15">
        <v>49.66</v>
      </c>
      <c r="J192" s="14">
        <f t="shared" si="2"/>
        <v>645.57999999999993</v>
      </c>
    </row>
    <row r="193" spans="1:10" x14ac:dyDescent="0.35">
      <c r="A193" s="6">
        <v>192</v>
      </c>
      <c r="B193" s="4" t="s">
        <v>2</v>
      </c>
      <c r="C193" t="s">
        <v>3</v>
      </c>
      <c r="D193" s="4" t="s">
        <v>4</v>
      </c>
      <c r="E193" s="4" t="s">
        <v>15</v>
      </c>
      <c r="F193" s="4" t="s">
        <v>11</v>
      </c>
      <c r="G193" s="10" t="str" cm="1">
        <f t="array" ref="G193">_xlfn.IFS(E193="Apple","Fruits", E193="Orange Juice","Beverages", E193="Detergent","Household", E193="Shampoo","Personal Care", E193="Notebook","Stationery")</f>
        <v>Household</v>
      </c>
      <c r="H193" s="12">
        <v>10</v>
      </c>
      <c r="I193" s="15">
        <v>58.85</v>
      </c>
      <c r="J193" s="14">
        <f t="shared" si="2"/>
        <v>588.5</v>
      </c>
    </row>
    <row r="194" spans="1:10" x14ac:dyDescent="0.35">
      <c r="A194" s="6">
        <v>193</v>
      </c>
      <c r="B194" s="4" t="s">
        <v>7</v>
      </c>
      <c r="C194" t="s">
        <v>8</v>
      </c>
      <c r="D194" s="4" t="s">
        <v>9</v>
      </c>
      <c r="E194" s="4" t="s">
        <v>12</v>
      </c>
      <c r="F194" s="4" t="s">
        <v>16</v>
      </c>
      <c r="G194" s="10" t="str" cm="1">
        <f t="array" ref="G194">_xlfn.IFS(E194="Apple","Fruits", E194="Orange Juice","Beverages", E194="Detergent","Household", E194="Shampoo","Personal Care", E194="Notebook","Stationery")</f>
        <v>Fruits</v>
      </c>
      <c r="H194" s="12">
        <v>3</v>
      </c>
      <c r="I194" s="15">
        <v>7.86</v>
      </c>
      <c r="J194" s="14">
        <f t="shared" ref="J194:J251" si="3">H194*I194</f>
        <v>23.580000000000002</v>
      </c>
    </row>
    <row r="195" spans="1:10" x14ac:dyDescent="0.35">
      <c r="A195" s="6">
        <v>194</v>
      </c>
      <c r="B195" s="4" t="s">
        <v>2</v>
      </c>
      <c r="C195" t="s">
        <v>14</v>
      </c>
      <c r="D195" s="4" t="s">
        <v>4</v>
      </c>
      <c r="E195" s="4" t="s">
        <v>5</v>
      </c>
      <c r="F195" s="4" t="s">
        <v>18</v>
      </c>
      <c r="G195" s="10" t="str" cm="1">
        <f t="array" ref="G195">_xlfn.IFS(E195="Apple","Fruits", E195="Orange Juice","Beverages", E195="Detergent","Household", E195="Shampoo","Personal Care", E195="Notebook","Stationery")</f>
        <v>Personal Care</v>
      </c>
      <c r="H195" s="12">
        <v>4</v>
      </c>
      <c r="I195" s="15">
        <v>40.96</v>
      </c>
      <c r="J195" s="14">
        <f t="shared" si="3"/>
        <v>163.84</v>
      </c>
    </row>
    <row r="196" spans="1:10" x14ac:dyDescent="0.35">
      <c r="A196" s="6">
        <v>195</v>
      </c>
      <c r="B196" s="4" t="s">
        <v>7</v>
      </c>
      <c r="C196" t="s">
        <v>8</v>
      </c>
      <c r="D196" s="4" t="s">
        <v>4</v>
      </c>
      <c r="E196" s="4" t="s">
        <v>10</v>
      </c>
      <c r="F196" s="4" t="s">
        <v>16</v>
      </c>
      <c r="G196" s="10" t="str" cm="1">
        <f t="array" ref="G196">_xlfn.IFS(E196="Apple","Fruits", E196="Orange Juice","Beverages", E196="Detergent","Household", E196="Shampoo","Personal Care", E196="Notebook","Stationery")</f>
        <v>Stationery</v>
      </c>
      <c r="H196" s="12">
        <v>4</v>
      </c>
      <c r="I196" s="15">
        <v>11.17</v>
      </c>
      <c r="J196" s="14">
        <f t="shared" si="3"/>
        <v>44.68</v>
      </c>
    </row>
    <row r="197" spans="1:10" x14ac:dyDescent="0.35">
      <c r="A197" s="6">
        <v>196</v>
      </c>
      <c r="B197" s="4" t="s">
        <v>2</v>
      </c>
      <c r="C197" t="s">
        <v>3</v>
      </c>
      <c r="D197" s="4" t="s">
        <v>9</v>
      </c>
      <c r="E197" s="4" t="s">
        <v>12</v>
      </c>
      <c r="F197" s="4" t="s">
        <v>13</v>
      </c>
      <c r="G197" s="10" t="str" cm="1">
        <f t="array" ref="G197">_xlfn.IFS(E197="Apple","Fruits", E197="Orange Juice","Beverages", E197="Detergent","Household", E197="Shampoo","Personal Care", E197="Notebook","Stationery")</f>
        <v>Fruits</v>
      </c>
      <c r="H197" s="12">
        <v>6</v>
      </c>
      <c r="I197" s="15">
        <v>57.65</v>
      </c>
      <c r="J197" s="14">
        <f t="shared" si="3"/>
        <v>345.9</v>
      </c>
    </row>
    <row r="198" spans="1:10" x14ac:dyDescent="0.35">
      <c r="A198" s="6">
        <v>197</v>
      </c>
      <c r="B198" s="4" t="s">
        <v>2</v>
      </c>
      <c r="C198" t="s">
        <v>3</v>
      </c>
      <c r="D198" s="4" t="s">
        <v>4</v>
      </c>
      <c r="E198" s="4" t="s">
        <v>10</v>
      </c>
      <c r="F198" s="4" t="s">
        <v>11</v>
      </c>
      <c r="G198" s="10" t="str" cm="1">
        <f t="array" ref="G198">_xlfn.IFS(E198="Apple","Fruits", E198="Orange Juice","Beverages", E198="Detergent","Household", E198="Shampoo","Personal Care", E198="Notebook","Stationery")</f>
        <v>Stationery</v>
      </c>
      <c r="H198" s="12">
        <v>15</v>
      </c>
      <c r="I198" s="15">
        <v>312.81</v>
      </c>
      <c r="J198" s="14">
        <f t="shared" si="3"/>
        <v>4692.1499999999996</v>
      </c>
    </row>
    <row r="199" spans="1:10" x14ac:dyDescent="0.35">
      <c r="A199" s="6">
        <v>198</v>
      </c>
      <c r="B199" s="4" t="s">
        <v>2</v>
      </c>
      <c r="C199" t="s">
        <v>14</v>
      </c>
      <c r="D199" s="4" t="s">
        <v>4</v>
      </c>
      <c r="E199" s="4" t="s">
        <v>17</v>
      </c>
      <c r="F199" s="4" t="s">
        <v>6</v>
      </c>
      <c r="G199" s="10" t="str" cm="1">
        <f t="array" ref="G199">_xlfn.IFS(E199="Apple","Fruits", E199="Orange Juice","Beverages", E199="Detergent","Household", E199="Shampoo","Personal Care", E199="Notebook","Stationery")</f>
        <v>Beverages</v>
      </c>
      <c r="H199" s="12">
        <v>18</v>
      </c>
      <c r="I199" s="15">
        <v>130.97</v>
      </c>
      <c r="J199" s="14">
        <f t="shared" si="3"/>
        <v>2357.46</v>
      </c>
    </row>
    <row r="200" spans="1:10" x14ac:dyDescent="0.35">
      <c r="A200" s="6">
        <v>199</v>
      </c>
      <c r="B200" s="4" t="s">
        <v>7</v>
      </c>
      <c r="C200" t="s">
        <v>8</v>
      </c>
      <c r="D200" s="4" t="s">
        <v>4</v>
      </c>
      <c r="E200" s="4" t="s">
        <v>10</v>
      </c>
      <c r="F200" s="4" t="s">
        <v>13</v>
      </c>
      <c r="G200" s="10" t="str" cm="1">
        <f t="array" ref="G200">_xlfn.IFS(E200="Apple","Fruits", E200="Orange Juice","Beverages", E200="Detergent","Household", E200="Shampoo","Personal Care", E200="Notebook","Stationery")</f>
        <v>Stationery</v>
      </c>
      <c r="H200" s="12">
        <v>16</v>
      </c>
      <c r="I200" s="15">
        <v>168.46</v>
      </c>
      <c r="J200" s="14">
        <f t="shared" si="3"/>
        <v>2695.36</v>
      </c>
    </row>
    <row r="201" spans="1:10" x14ac:dyDescent="0.35">
      <c r="A201" s="6">
        <v>200</v>
      </c>
      <c r="B201" s="4" t="s">
        <v>2</v>
      </c>
      <c r="C201" t="s">
        <v>14</v>
      </c>
      <c r="D201" s="4" t="s">
        <v>9</v>
      </c>
      <c r="E201" s="4" t="s">
        <v>12</v>
      </c>
      <c r="F201" s="4" t="s">
        <v>13</v>
      </c>
      <c r="G201" s="10" t="str" cm="1">
        <f t="array" ref="G201">_xlfn.IFS(E201="Apple","Fruits", E201="Orange Juice","Beverages", E201="Detergent","Household", E201="Shampoo","Personal Care", E201="Notebook","Stationery")</f>
        <v>Fruits</v>
      </c>
      <c r="H201" s="12">
        <v>6</v>
      </c>
      <c r="I201" s="15">
        <v>73.12</v>
      </c>
      <c r="J201" s="14">
        <f t="shared" si="3"/>
        <v>438.72</v>
      </c>
    </row>
    <row r="202" spans="1:10" x14ac:dyDescent="0.35">
      <c r="A202" s="6">
        <v>201</v>
      </c>
      <c r="B202" s="4" t="s">
        <v>2</v>
      </c>
      <c r="C202" t="s">
        <v>3</v>
      </c>
      <c r="D202" s="4" t="s">
        <v>9</v>
      </c>
      <c r="E202" s="4" t="s">
        <v>15</v>
      </c>
      <c r="F202" s="4" t="s">
        <v>6</v>
      </c>
      <c r="G202" s="10" t="str" cm="1">
        <f t="array" ref="G202">_xlfn.IFS(E202="Apple","Fruits", E202="Orange Juice","Beverages", E202="Detergent","Household", E202="Shampoo","Personal Care", E202="Notebook","Stationery")</f>
        <v>Household</v>
      </c>
      <c r="H202" s="12">
        <v>13</v>
      </c>
      <c r="I202" s="15">
        <v>115.45</v>
      </c>
      <c r="J202" s="14">
        <f t="shared" si="3"/>
        <v>1500.8500000000001</v>
      </c>
    </row>
    <row r="203" spans="1:10" x14ac:dyDescent="0.35">
      <c r="A203" s="6">
        <v>202</v>
      </c>
      <c r="B203" s="4" t="s">
        <v>2</v>
      </c>
      <c r="C203" t="s">
        <v>3</v>
      </c>
      <c r="D203" s="4" t="s">
        <v>4</v>
      </c>
      <c r="E203" s="4" t="s">
        <v>15</v>
      </c>
      <c r="F203" s="4" t="s">
        <v>16</v>
      </c>
      <c r="G203" s="10" t="str" cm="1">
        <f t="array" ref="G203">_xlfn.IFS(E203="Apple","Fruits", E203="Orange Juice","Beverages", E203="Detergent","Household", E203="Shampoo","Personal Care", E203="Notebook","Stationery")</f>
        <v>Household</v>
      </c>
      <c r="H203" s="12">
        <v>8</v>
      </c>
      <c r="I203" s="15">
        <v>93.3</v>
      </c>
      <c r="J203" s="14">
        <f t="shared" si="3"/>
        <v>746.4</v>
      </c>
    </row>
    <row r="204" spans="1:10" x14ac:dyDescent="0.35">
      <c r="A204" s="6">
        <v>203</v>
      </c>
      <c r="B204" s="4" t="s">
        <v>7</v>
      </c>
      <c r="C204" t="s">
        <v>8</v>
      </c>
      <c r="D204" s="4" t="s">
        <v>4</v>
      </c>
      <c r="E204" s="4" t="s">
        <v>5</v>
      </c>
      <c r="F204" s="4" t="s">
        <v>13</v>
      </c>
      <c r="G204" s="10" t="str" cm="1">
        <f t="array" ref="G204">_xlfn.IFS(E204="Apple","Fruits", E204="Orange Juice","Beverages", E204="Detergent","Household", E204="Shampoo","Personal Care", E204="Notebook","Stationery")</f>
        <v>Personal Care</v>
      </c>
      <c r="H204" s="12">
        <v>20</v>
      </c>
      <c r="I204" s="15">
        <v>64.2</v>
      </c>
      <c r="J204" s="14">
        <f t="shared" si="3"/>
        <v>1284</v>
      </c>
    </row>
    <row r="205" spans="1:10" x14ac:dyDescent="0.35">
      <c r="A205" s="6">
        <v>204</v>
      </c>
      <c r="B205" s="4" t="s">
        <v>2</v>
      </c>
      <c r="C205" t="s">
        <v>14</v>
      </c>
      <c r="D205" s="4" t="s">
        <v>4</v>
      </c>
      <c r="E205" s="4" t="s">
        <v>15</v>
      </c>
      <c r="F205" s="4" t="s">
        <v>16</v>
      </c>
      <c r="G205" s="10" t="str" cm="1">
        <f t="array" ref="G205">_xlfn.IFS(E205="Apple","Fruits", E205="Orange Juice","Beverages", E205="Detergent","Household", E205="Shampoo","Personal Care", E205="Notebook","Stationery")</f>
        <v>Household</v>
      </c>
      <c r="H205" s="12">
        <v>10</v>
      </c>
      <c r="I205" s="15">
        <v>176.55</v>
      </c>
      <c r="J205" s="14">
        <f t="shared" si="3"/>
        <v>1765.5</v>
      </c>
    </row>
    <row r="206" spans="1:10" x14ac:dyDescent="0.35">
      <c r="A206" s="6">
        <v>205</v>
      </c>
      <c r="B206" s="4" t="s">
        <v>2</v>
      </c>
      <c r="C206" t="s">
        <v>3</v>
      </c>
      <c r="D206" s="4" t="s">
        <v>9</v>
      </c>
      <c r="E206" s="4" t="s">
        <v>17</v>
      </c>
      <c r="F206" s="4" t="s">
        <v>6</v>
      </c>
      <c r="G206" s="10" t="str" cm="1">
        <f t="array" ref="G206">_xlfn.IFS(E206="Apple","Fruits", E206="Orange Juice","Beverages", E206="Detergent","Household", E206="Shampoo","Personal Care", E206="Notebook","Stationery")</f>
        <v>Beverages</v>
      </c>
      <c r="H206" s="12">
        <v>5</v>
      </c>
      <c r="I206" s="15">
        <v>107.32</v>
      </c>
      <c r="J206" s="14">
        <f t="shared" si="3"/>
        <v>536.59999999999991</v>
      </c>
    </row>
    <row r="207" spans="1:10" x14ac:dyDescent="0.35">
      <c r="A207" s="6">
        <v>206</v>
      </c>
      <c r="B207" s="4" t="s">
        <v>2</v>
      </c>
      <c r="C207" t="s">
        <v>3</v>
      </c>
      <c r="D207" s="4" t="s">
        <v>9</v>
      </c>
      <c r="E207" s="4" t="s">
        <v>5</v>
      </c>
      <c r="F207" s="4" t="s">
        <v>16</v>
      </c>
      <c r="G207" s="10" t="str" cm="1">
        <f t="array" ref="G207">_xlfn.IFS(E207="Apple","Fruits", E207="Orange Juice","Beverages", E207="Detergent","Household", E207="Shampoo","Personal Care", E207="Notebook","Stationery")</f>
        <v>Personal Care</v>
      </c>
      <c r="H207" s="12">
        <v>7</v>
      </c>
      <c r="I207" s="15">
        <v>80.37</v>
      </c>
      <c r="J207" s="14">
        <f t="shared" si="3"/>
        <v>562.59</v>
      </c>
    </row>
    <row r="208" spans="1:10" x14ac:dyDescent="0.35">
      <c r="A208" s="6">
        <v>207</v>
      </c>
      <c r="B208" s="4" t="s">
        <v>7</v>
      </c>
      <c r="C208" t="s">
        <v>8</v>
      </c>
      <c r="D208" s="4" t="s">
        <v>9</v>
      </c>
      <c r="E208" s="4" t="s">
        <v>15</v>
      </c>
      <c r="F208" s="4" t="s">
        <v>11</v>
      </c>
      <c r="G208" s="10" t="str" cm="1">
        <f t="array" ref="G208">_xlfn.IFS(E208="Apple","Fruits", E208="Orange Juice","Beverages", E208="Detergent","Household", E208="Shampoo","Personal Care", E208="Notebook","Stationery")</f>
        <v>Household</v>
      </c>
      <c r="H208" s="12">
        <v>18</v>
      </c>
      <c r="I208" s="15">
        <v>162.94</v>
      </c>
      <c r="J208" s="14">
        <f t="shared" si="3"/>
        <v>2932.92</v>
      </c>
    </row>
    <row r="209" spans="1:10" x14ac:dyDescent="0.35">
      <c r="A209" s="6">
        <v>208</v>
      </c>
      <c r="B209" s="4" t="s">
        <v>2</v>
      </c>
      <c r="C209" t="s">
        <v>3</v>
      </c>
      <c r="D209" s="4" t="s">
        <v>4</v>
      </c>
      <c r="E209" s="4" t="s">
        <v>5</v>
      </c>
      <c r="F209" s="4" t="s">
        <v>13</v>
      </c>
      <c r="G209" s="10" t="str" cm="1">
        <f t="array" ref="G209">_xlfn.IFS(E209="Apple","Fruits", E209="Orange Juice","Beverages", E209="Detergent","Household", E209="Shampoo","Personal Care", E209="Notebook","Stationery")</f>
        <v>Personal Care</v>
      </c>
      <c r="H209" s="12">
        <v>20</v>
      </c>
      <c r="I209" s="15">
        <v>144.66</v>
      </c>
      <c r="J209" s="14">
        <f t="shared" si="3"/>
        <v>2893.2</v>
      </c>
    </row>
    <row r="210" spans="1:10" x14ac:dyDescent="0.35">
      <c r="A210" s="6">
        <v>209</v>
      </c>
      <c r="B210" s="4" t="s">
        <v>7</v>
      </c>
      <c r="C210" t="s">
        <v>8</v>
      </c>
      <c r="D210" s="4" t="s">
        <v>9</v>
      </c>
      <c r="E210" s="4" t="s">
        <v>17</v>
      </c>
      <c r="F210" s="4" t="s">
        <v>6</v>
      </c>
      <c r="G210" s="10" t="str" cm="1">
        <f t="array" ref="G210">_xlfn.IFS(E210="Apple","Fruits", E210="Orange Juice","Beverages", E210="Detergent","Household", E210="Shampoo","Personal Care", E210="Notebook","Stationery")</f>
        <v>Beverages</v>
      </c>
      <c r="H210" s="12">
        <v>7</v>
      </c>
      <c r="I210" s="15">
        <v>65.239999999999995</v>
      </c>
      <c r="J210" s="14">
        <f t="shared" si="3"/>
        <v>456.67999999999995</v>
      </c>
    </row>
    <row r="211" spans="1:10" x14ac:dyDescent="0.35">
      <c r="A211" s="6">
        <v>210</v>
      </c>
      <c r="B211" s="4" t="s">
        <v>7</v>
      </c>
      <c r="C211" t="s">
        <v>8</v>
      </c>
      <c r="D211" s="4" t="s">
        <v>4</v>
      </c>
      <c r="E211" s="4" t="s">
        <v>10</v>
      </c>
      <c r="F211" s="4" t="s">
        <v>18</v>
      </c>
      <c r="G211" s="10" t="str" cm="1">
        <f t="array" ref="G211">_xlfn.IFS(E211="Apple","Fruits", E211="Orange Juice","Beverages", E211="Detergent","Household", E211="Shampoo","Personal Care", E211="Notebook","Stationery")</f>
        <v>Stationery</v>
      </c>
      <c r="H211" s="12">
        <v>18</v>
      </c>
      <c r="I211" s="15">
        <v>133.09</v>
      </c>
      <c r="J211" s="14">
        <f t="shared" si="3"/>
        <v>2395.62</v>
      </c>
    </row>
    <row r="212" spans="1:10" x14ac:dyDescent="0.35">
      <c r="A212" s="6">
        <v>211</v>
      </c>
      <c r="B212" s="4" t="s">
        <v>2</v>
      </c>
      <c r="C212" t="s">
        <v>14</v>
      </c>
      <c r="D212" s="4" t="s">
        <v>4</v>
      </c>
      <c r="E212" s="4" t="s">
        <v>10</v>
      </c>
      <c r="F212" s="4" t="s">
        <v>11</v>
      </c>
      <c r="G212" s="10" t="str" cm="1">
        <f t="array" ref="G212">_xlfn.IFS(E212="Apple","Fruits", E212="Orange Juice","Beverages", E212="Detergent","Household", E212="Shampoo","Personal Care", E212="Notebook","Stationery")</f>
        <v>Stationery</v>
      </c>
      <c r="H212" s="12">
        <v>15</v>
      </c>
      <c r="I212" s="15">
        <v>259.69</v>
      </c>
      <c r="J212" s="14">
        <f t="shared" si="3"/>
        <v>3895.35</v>
      </c>
    </row>
    <row r="213" spans="1:10" x14ac:dyDescent="0.35">
      <c r="A213" s="6">
        <v>212</v>
      </c>
      <c r="B213" s="4" t="s">
        <v>2</v>
      </c>
      <c r="C213" t="s">
        <v>14</v>
      </c>
      <c r="D213" s="4" t="s">
        <v>4</v>
      </c>
      <c r="E213" s="4" t="s">
        <v>15</v>
      </c>
      <c r="F213" s="4" t="s">
        <v>11</v>
      </c>
      <c r="G213" s="10" t="str" cm="1">
        <f t="array" ref="G213">_xlfn.IFS(E213="Apple","Fruits", E213="Orange Juice","Beverages", E213="Detergent","Household", E213="Shampoo","Personal Care", E213="Notebook","Stationery")</f>
        <v>Household</v>
      </c>
      <c r="H213" s="12">
        <v>17</v>
      </c>
      <c r="I213" s="15">
        <v>227.38</v>
      </c>
      <c r="J213" s="14">
        <f t="shared" si="3"/>
        <v>3865.46</v>
      </c>
    </row>
    <row r="214" spans="1:10" x14ac:dyDescent="0.35">
      <c r="A214" s="6">
        <v>213</v>
      </c>
      <c r="B214" s="4" t="s">
        <v>2</v>
      </c>
      <c r="C214" t="s">
        <v>3</v>
      </c>
      <c r="D214" s="4" t="s">
        <v>9</v>
      </c>
      <c r="E214" s="4" t="s">
        <v>17</v>
      </c>
      <c r="F214" s="4" t="s">
        <v>13</v>
      </c>
      <c r="G214" s="10" t="str" cm="1">
        <f t="array" ref="G214">_xlfn.IFS(E214="Apple","Fruits", E214="Orange Juice","Beverages", E214="Detergent","Household", E214="Shampoo","Personal Care", E214="Notebook","Stationery")</f>
        <v>Beverages</v>
      </c>
      <c r="H214" s="12">
        <v>16</v>
      </c>
      <c r="I214" s="15">
        <v>300.45999999999998</v>
      </c>
      <c r="J214" s="14">
        <f t="shared" si="3"/>
        <v>4807.3599999999997</v>
      </c>
    </row>
    <row r="215" spans="1:10" x14ac:dyDescent="0.35">
      <c r="A215" s="6">
        <v>214</v>
      </c>
      <c r="B215" s="4" t="s">
        <v>2</v>
      </c>
      <c r="C215" t="s">
        <v>3</v>
      </c>
      <c r="D215" s="4" t="s">
        <v>9</v>
      </c>
      <c r="E215" s="4" t="s">
        <v>10</v>
      </c>
      <c r="F215" s="4" t="s">
        <v>16</v>
      </c>
      <c r="G215" s="10" t="str" cm="1">
        <f t="array" ref="G215">_xlfn.IFS(E215="Apple","Fruits", E215="Orange Juice","Beverages", E215="Detergent","Household", E215="Shampoo","Personal Care", E215="Notebook","Stationery")</f>
        <v>Stationery</v>
      </c>
      <c r="H215" s="12">
        <v>1</v>
      </c>
      <c r="I215" s="15">
        <v>18.82</v>
      </c>
      <c r="J215" s="14">
        <f t="shared" si="3"/>
        <v>18.82</v>
      </c>
    </row>
    <row r="216" spans="1:10" x14ac:dyDescent="0.35">
      <c r="A216" s="6">
        <v>215</v>
      </c>
      <c r="B216" s="4" t="s">
        <v>7</v>
      </c>
      <c r="C216" t="s">
        <v>8</v>
      </c>
      <c r="D216" s="4" t="s">
        <v>4</v>
      </c>
      <c r="E216" s="4" t="s">
        <v>10</v>
      </c>
      <c r="F216" s="4" t="s">
        <v>18</v>
      </c>
      <c r="G216" s="10" t="str" cm="1">
        <f t="array" ref="G216">_xlfn.IFS(E216="Apple","Fruits", E216="Orange Juice","Beverages", E216="Detergent","Household", E216="Shampoo","Personal Care", E216="Notebook","Stationery")</f>
        <v>Stationery</v>
      </c>
      <c r="H216" s="12">
        <v>19</v>
      </c>
      <c r="I216" s="15">
        <v>136.21</v>
      </c>
      <c r="J216" s="14">
        <f t="shared" si="3"/>
        <v>2587.9900000000002</v>
      </c>
    </row>
    <row r="217" spans="1:10" x14ac:dyDescent="0.35">
      <c r="A217" s="6">
        <v>216</v>
      </c>
      <c r="B217" s="4" t="s">
        <v>2</v>
      </c>
      <c r="C217" t="s">
        <v>3</v>
      </c>
      <c r="D217" s="4" t="s">
        <v>4</v>
      </c>
      <c r="E217" s="4" t="s">
        <v>5</v>
      </c>
      <c r="F217" s="4" t="s">
        <v>13</v>
      </c>
      <c r="G217" s="10" t="str" cm="1">
        <f t="array" ref="G217">_xlfn.IFS(E217="Apple","Fruits", E217="Orange Juice","Beverages", E217="Detergent","Household", E217="Shampoo","Personal Care", E217="Notebook","Stationery")</f>
        <v>Personal Care</v>
      </c>
      <c r="H217" s="12">
        <v>2</v>
      </c>
      <c r="I217" s="15">
        <v>39.270000000000003</v>
      </c>
      <c r="J217" s="14">
        <f t="shared" si="3"/>
        <v>78.540000000000006</v>
      </c>
    </row>
    <row r="218" spans="1:10" x14ac:dyDescent="0.35">
      <c r="A218" s="6">
        <v>217</v>
      </c>
      <c r="B218" s="4" t="s">
        <v>2</v>
      </c>
      <c r="C218" t="s">
        <v>3</v>
      </c>
      <c r="D218" s="4" t="s">
        <v>9</v>
      </c>
      <c r="E218" s="4" t="s">
        <v>17</v>
      </c>
      <c r="F218" s="4" t="s">
        <v>11</v>
      </c>
      <c r="G218" s="10" t="str" cm="1">
        <f t="array" ref="G218">_xlfn.IFS(E218="Apple","Fruits", E218="Orange Juice","Beverages", E218="Detergent","Household", E218="Shampoo","Personal Care", E218="Notebook","Stationery")</f>
        <v>Beverages</v>
      </c>
      <c r="H218" s="12">
        <v>16</v>
      </c>
      <c r="I218" s="15">
        <v>121.38</v>
      </c>
      <c r="J218" s="14">
        <f t="shared" si="3"/>
        <v>1942.08</v>
      </c>
    </row>
    <row r="219" spans="1:10" x14ac:dyDescent="0.35">
      <c r="A219" s="6">
        <v>218</v>
      </c>
      <c r="B219" s="4" t="s">
        <v>2</v>
      </c>
      <c r="C219" t="s">
        <v>14</v>
      </c>
      <c r="D219" s="4" t="s">
        <v>4</v>
      </c>
      <c r="E219" s="4" t="s">
        <v>15</v>
      </c>
      <c r="F219" s="4" t="s">
        <v>16</v>
      </c>
      <c r="G219" s="10" t="str" cm="1">
        <f t="array" ref="G219">_xlfn.IFS(E219="Apple","Fruits", E219="Orange Juice","Beverages", E219="Detergent","Household", E219="Shampoo","Personal Care", E219="Notebook","Stationery")</f>
        <v>Household</v>
      </c>
      <c r="H219" s="12">
        <v>9</v>
      </c>
      <c r="I219" s="15">
        <v>192.21</v>
      </c>
      <c r="J219" s="14">
        <f t="shared" si="3"/>
        <v>1729.89</v>
      </c>
    </row>
    <row r="220" spans="1:10" x14ac:dyDescent="0.35">
      <c r="A220" s="6">
        <v>219</v>
      </c>
      <c r="B220" s="4" t="s">
        <v>7</v>
      </c>
      <c r="C220" t="s">
        <v>8</v>
      </c>
      <c r="D220" s="4" t="s">
        <v>9</v>
      </c>
      <c r="E220" s="4" t="s">
        <v>5</v>
      </c>
      <c r="F220" s="4" t="s">
        <v>11</v>
      </c>
      <c r="G220" s="10" t="str" cm="1">
        <f t="array" ref="G220">_xlfn.IFS(E220="Apple","Fruits", E220="Orange Juice","Beverages", E220="Detergent","Household", E220="Shampoo","Personal Care", E220="Notebook","Stationery")</f>
        <v>Personal Care</v>
      </c>
      <c r="H220" s="12">
        <v>16</v>
      </c>
      <c r="I220" s="15">
        <v>51.53</v>
      </c>
      <c r="J220" s="14">
        <f t="shared" si="3"/>
        <v>824.48</v>
      </c>
    </row>
    <row r="221" spans="1:10" x14ac:dyDescent="0.35">
      <c r="A221" s="6">
        <v>220</v>
      </c>
      <c r="B221" s="4" t="s">
        <v>2</v>
      </c>
      <c r="C221" t="s">
        <v>3</v>
      </c>
      <c r="D221" s="4" t="s">
        <v>4</v>
      </c>
      <c r="E221" s="4" t="s">
        <v>15</v>
      </c>
      <c r="F221" s="4" t="s">
        <v>13</v>
      </c>
      <c r="G221" s="10" t="str" cm="1">
        <f t="array" ref="G221">_xlfn.IFS(E221="Apple","Fruits", E221="Orange Juice","Beverages", E221="Detergent","Household", E221="Shampoo","Personal Care", E221="Notebook","Stationery")</f>
        <v>Household</v>
      </c>
      <c r="H221" s="12">
        <v>13</v>
      </c>
      <c r="I221" s="15">
        <v>66.77</v>
      </c>
      <c r="J221" s="14">
        <f t="shared" si="3"/>
        <v>868.01</v>
      </c>
    </row>
    <row r="222" spans="1:10" x14ac:dyDescent="0.35">
      <c r="A222" s="6">
        <v>221</v>
      </c>
      <c r="B222" s="4" t="s">
        <v>7</v>
      </c>
      <c r="C222" t="s">
        <v>8</v>
      </c>
      <c r="D222" s="4" t="s">
        <v>9</v>
      </c>
      <c r="E222" s="4" t="s">
        <v>17</v>
      </c>
      <c r="F222" s="4" t="s">
        <v>6</v>
      </c>
      <c r="G222" s="10" t="str" cm="1">
        <f t="array" ref="G222">_xlfn.IFS(E222="Apple","Fruits", E222="Orange Juice","Beverages", E222="Detergent","Household", E222="Shampoo","Personal Care", E222="Notebook","Stationery")</f>
        <v>Beverages</v>
      </c>
      <c r="H222" s="12">
        <v>17</v>
      </c>
      <c r="I222" s="15">
        <v>106.59</v>
      </c>
      <c r="J222" s="14">
        <f t="shared" si="3"/>
        <v>1812.03</v>
      </c>
    </row>
    <row r="223" spans="1:10" x14ac:dyDescent="0.35">
      <c r="A223" s="6">
        <v>222</v>
      </c>
      <c r="B223" s="4" t="s">
        <v>7</v>
      </c>
      <c r="C223" t="s">
        <v>8</v>
      </c>
      <c r="D223" s="4" t="s">
        <v>4</v>
      </c>
      <c r="E223" s="4" t="s">
        <v>17</v>
      </c>
      <c r="F223" s="4" t="s">
        <v>6</v>
      </c>
      <c r="G223" s="10" t="str" cm="1">
        <f t="array" ref="G223">_xlfn.IFS(E223="Apple","Fruits", E223="Orange Juice","Beverages", E223="Detergent","Household", E223="Shampoo","Personal Care", E223="Notebook","Stationery")</f>
        <v>Beverages</v>
      </c>
      <c r="H223" s="12">
        <v>19</v>
      </c>
      <c r="I223" s="15">
        <v>356.79</v>
      </c>
      <c r="J223" s="14">
        <f t="shared" si="3"/>
        <v>6779.01</v>
      </c>
    </row>
    <row r="224" spans="1:10" x14ac:dyDescent="0.35">
      <c r="A224" s="6">
        <v>223</v>
      </c>
      <c r="B224" s="4" t="s">
        <v>2</v>
      </c>
      <c r="C224" t="s">
        <v>3</v>
      </c>
      <c r="D224" s="4" t="s">
        <v>4</v>
      </c>
      <c r="E224" s="4" t="s">
        <v>5</v>
      </c>
      <c r="F224" s="4" t="s">
        <v>11</v>
      </c>
      <c r="G224" s="10" t="str" cm="1">
        <f t="array" ref="G224">_xlfn.IFS(E224="Apple","Fruits", E224="Orange Juice","Beverages", E224="Detergent","Household", E224="Shampoo","Personal Care", E224="Notebook","Stationery")</f>
        <v>Personal Care</v>
      </c>
      <c r="H224" s="12">
        <v>5</v>
      </c>
      <c r="I224" s="15">
        <v>77.41</v>
      </c>
      <c r="J224" s="14">
        <f t="shared" si="3"/>
        <v>387.04999999999995</v>
      </c>
    </row>
    <row r="225" spans="1:10" x14ac:dyDescent="0.35">
      <c r="A225" s="6">
        <v>224</v>
      </c>
      <c r="B225" s="4" t="s">
        <v>2</v>
      </c>
      <c r="C225" t="s">
        <v>14</v>
      </c>
      <c r="D225" s="4" t="s">
        <v>4</v>
      </c>
      <c r="E225" s="4" t="s">
        <v>17</v>
      </c>
      <c r="F225" s="4" t="s">
        <v>6</v>
      </c>
      <c r="G225" s="10" t="str" cm="1">
        <f t="array" ref="G225">_xlfn.IFS(E225="Apple","Fruits", E225="Orange Juice","Beverages", E225="Detergent","Household", E225="Shampoo","Personal Care", E225="Notebook","Stationery")</f>
        <v>Beverages</v>
      </c>
      <c r="H225" s="12">
        <v>14</v>
      </c>
      <c r="I225" s="15">
        <v>118.49</v>
      </c>
      <c r="J225" s="14">
        <f t="shared" si="3"/>
        <v>1658.86</v>
      </c>
    </row>
    <row r="226" spans="1:10" x14ac:dyDescent="0.35">
      <c r="A226" s="6">
        <v>225</v>
      </c>
      <c r="B226" s="4" t="s">
        <v>2</v>
      </c>
      <c r="C226" t="s">
        <v>14</v>
      </c>
      <c r="D226" s="4" t="s">
        <v>4</v>
      </c>
      <c r="E226" s="4" t="s">
        <v>12</v>
      </c>
      <c r="F226" s="4" t="s">
        <v>11</v>
      </c>
      <c r="G226" s="10" t="str" cm="1">
        <f t="array" ref="G226">_xlfn.IFS(E226="Apple","Fruits", E226="Orange Juice","Beverages", E226="Detergent","Household", E226="Shampoo","Personal Care", E226="Notebook","Stationery")</f>
        <v>Fruits</v>
      </c>
      <c r="H226" s="12">
        <v>19</v>
      </c>
      <c r="I226" s="15">
        <v>103.89</v>
      </c>
      <c r="J226" s="14">
        <f t="shared" si="3"/>
        <v>1973.91</v>
      </c>
    </row>
    <row r="227" spans="1:10" x14ac:dyDescent="0.35">
      <c r="A227" s="6">
        <v>226</v>
      </c>
      <c r="B227" s="4" t="s">
        <v>2</v>
      </c>
      <c r="C227" t="s">
        <v>14</v>
      </c>
      <c r="D227" s="4" t="s">
        <v>4</v>
      </c>
      <c r="E227" s="4" t="s">
        <v>5</v>
      </c>
      <c r="F227" s="4" t="s">
        <v>13</v>
      </c>
      <c r="G227" s="10" t="str" cm="1">
        <f t="array" ref="G227">_xlfn.IFS(E227="Apple","Fruits", E227="Orange Juice","Beverages", E227="Detergent","Household", E227="Shampoo","Personal Care", E227="Notebook","Stationery")</f>
        <v>Personal Care</v>
      </c>
      <c r="H227" s="12">
        <v>16</v>
      </c>
      <c r="I227" s="15">
        <v>301.64999999999998</v>
      </c>
      <c r="J227" s="14">
        <f t="shared" si="3"/>
        <v>4826.3999999999996</v>
      </c>
    </row>
    <row r="228" spans="1:10" x14ac:dyDescent="0.35">
      <c r="A228" s="6">
        <v>227</v>
      </c>
      <c r="B228" s="4" t="s">
        <v>2</v>
      </c>
      <c r="C228" t="s">
        <v>3</v>
      </c>
      <c r="D228" s="4" t="s">
        <v>4</v>
      </c>
      <c r="E228" s="4" t="s">
        <v>5</v>
      </c>
      <c r="F228" s="4" t="s">
        <v>18</v>
      </c>
      <c r="G228" s="10" t="str" cm="1">
        <f t="array" ref="G228">_xlfn.IFS(E228="Apple","Fruits", E228="Orange Juice","Beverages", E228="Detergent","Household", E228="Shampoo","Personal Care", E228="Notebook","Stationery")</f>
        <v>Personal Care</v>
      </c>
      <c r="H228" s="12">
        <v>3</v>
      </c>
      <c r="I228" s="15">
        <v>41.06</v>
      </c>
      <c r="J228" s="14">
        <f t="shared" si="3"/>
        <v>123.18</v>
      </c>
    </row>
    <row r="229" spans="1:10" x14ac:dyDescent="0.35">
      <c r="A229" s="6">
        <v>228</v>
      </c>
      <c r="B229" s="4" t="s">
        <v>2</v>
      </c>
      <c r="C229" t="s">
        <v>3</v>
      </c>
      <c r="D229" s="4" t="s">
        <v>9</v>
      </c>
      <c r="E229" s="4" t="s">
        <v>12</v>
      </c>
      <c r="F229" s="4" t="s">
        <v>6</v>
      </c>
      <c r="G229" s="10" t="str" cm="1">
        <f t="array" ref="G229">_xlfn.IFS(E229="Apple","Fruits", E229="Orange Juice","Beverages", E229="Detergent","Household", E229="Shampoo","Personal Care", E229="Notebook","Stationery")</f>
        <v>Fruits</v>
      </c>
      <c r="H229" s="12">
        <v>1</v>
      </c>
      <c r="I229" s="15">
        <v>10.26</v>
      </c>
      <c r="J229" s="14">
        <f t="shared" si="3"/>
        <v>10.26</v>
      </c>
    </row>
    <row r="230" spans="1:10" x14ac:dyDescent="0.35">
      <c r="A230" s="6">
        <v>229</v>
      </c>
      <c r="B230" s="4" t="s">
        <v>2</v>
      </c>
      <c r="C230" t="s">
        <v>3</v>
      </c>
      <c r="D230" s="4" t="s">
        <v>9</v>
      </c>
      <c r="E230" s="4" t="s">
        <v>10</v>
      </c>
      <c r="F230" s="4" t="s">
        <v>13</v>
      </c>
      <c r="G230" s="10" t="str" cm="1">
        <f t="array" ref="G230">_xlfn.IFS(E230="Apple","Fruits", E230="Orange Juice","Beverages", E230="Detergent","Household", E230="Shampoo","Personal Care", E230="Notebook","Stationery")</f>
        <v>Stationery</v>
      </c>
      <c r="H230" s="12">
        <v>14</v>
      </c>
      <c r="I230" s="15">
        <v>38.65</v>
      </c>
      <c r="J230" s="14">
        <f t="shared" si="3"/>
        <v>541.1</v>
      </c>
    </row>
    <row r="231" spans="1:10" x14ac:dyDescent="0.35">
      <c r="A231" s="6">
        <v>230</v>
      </c>
      <c r="B231" s="4" t="s">
        <v>2</v>
      </c>
      <c r="C231" t="s">
        <v>3</v>
      </c>
      <c r="D231" s="4" t="s">
        <v>9</v>
      </c>
      <c r="E231" s="4" t="s">
        <v>5</v>
      </c>
      <c r="F231" s="4" t="s">
        <v>16</v>
      </c>
      <c r="G231" s="10" t="str" cm="1">
        <f t="array" ref="G231">_xlfn.IFS(E231="Apple","Fruits", E231="Orange Juice","Beverages", E231="Detergent","Household", E231="Shampoo","Personal Care", E231="Notebook","Stationery")</f>
        <v>Personal Care</v>
      </c>
      <c r="H231" s="12">
        <v>12</v>
      </c>
      <c r="I231" s="15">
        <v>193.63</v>
      </c>
      <c r="J231" s="14">
        <f t="shared" si="3"/>
        <v>2323.56</v>
      </c>
    </row>
    <row r="232" spans="1:10" x14ac:dyDescent="0.35">
      <c r="A232" s="6">
        <v>231</v>
      </c>
      <c r="B232" s="4" t="s">
        <v>2</v>
      </c>
      <c r="C232" t="s">
        <v>3</v>
      </c>
      <c r="D232" s="4" t="s">
        <v>4</v>
      </c>
      <c r="E232" s="4" t="s">
        <v>5</v>
      </c>
      <c r="F232" s="4" t="s">
        <v>16</v>
      </c>
      <c r="G232" s="10" t="str" cm="1">
        <f t="array" ref="G232">_xlfn.IFS(E232="Apple","Fruits", E232="Orange Juice","Beverages", E232="Detergent","Household", E232="Shampoo","Personal Care", E232="Notebook","Stationery")</f>
        <v>Personal Care</v>
      </c>
      <c r="H232" s="12">
        <v>1</v>
      </c>
      <c r="I232" s="15">
        <v>11.13</v>
      </c>
      <c r="J232" s="14">
        <f t="shared" si="3"/>
        <v>11.13</v>
      </c>
    </row>
    <row r="233" spans="1:10" x14ac:dyDescent="0.35">
      <c r="A233" s="6">
        <v>232</v>
      </c>
      <c r="B233" s="4" t="s">
        <v>2</v>
      </c>
      <c r="C233" t="s">
        <v>14</v>
      </c>
      <c r="D233" s="4" t="s">
        <v>9</v>
      </c>
      <c r="E233" s="4" t="s">
        <v>5</v>
      </c>
      <c r="F233" s="4" t="s">
        <v>16</v>
      </c>
      <c r="G233" s="10" t="str" cm="1">
        <f t="array" ref="G233">_xlfn.IFS(E233="Apple","Fruits", E233="Orange Juice","Beverages", E233="Detergent","Household", E233="Shampoo","Personal Care", E233="Notebook","Stationery")</f>
        <v>Personal Care</v>
      </c>
      <c r="H233" s="12">
        <v>4</v>
      </c>
      <c r="I233" s="15">
        <v>4.58</v>
      </c>
      <c r="J233" s="14">
        <f t="shared" si="3"/>
        <v>18.32</v>
      </c>
    </row>
    <row r="234" spans="1:10" x14ac:dyDescent="0.35">
      <c r="A234" s="6">
        <v>233</v>
      </c>
      <c r="B234" s="4" t="s">
        <v>2</v>
      </c>
      <c r="C234" t="s">
        <v>3</v>
      </c>
      <c r="D234" s="4" t="s">
        <v>9</v>
      </c>
      <c r="E234" s="4" t="s">
        <v>5</v>
      </c>
      <c r="F234" s="4" t="s">
        <v>6</v>
      </c>
      <c r="G234" s="10" t="str" cm="1">
        <f t="array" ref="G234">_xlfn.IFS(E234="Apple","Fruits", E234="Orange Juice","Beverages", E234="Detergent","Household", E234="Shampoo","Personal Care", E234="Notebook","Stationery")</f>
        <v>Personal Care</v>
      </c>
      <c r="H234" s="12">
        <v>6</v>
      </c>
      <c r="I234" s="15">
        <v>18.170000000000002</v>
      </c>
      <c r="J234" s="14">
        <f t="shared" si="3"/>
        <v>109.02000000000001</v>
      </c>
    </row>
    <row r="235" spans="1:10" x14ac:dyDescent="0.35">
      <c r="A235" s="6">
        <v>234</v>
      </c>
      <c r="B235" s="4" t="s">
        <v>2</v>
      </c>
      <c r="C235" t="s">
        <v>14</v>
      </c>
      <c r="D235" s="4" t="s">
        <v>4</v>
      </c>
      <c r="E235" s="4" t="s">
        <v>10</v>
      </c>
      <c r="F235" s="4" t="s">
        <v>13</v>
      </c>
      <c r="G235" s="10" t="str" cm="1">
        <f t="array" ref="G235">_xlfn.IFS(E235="Apple","Fruits", E235="Orange Juice","Beverages", E235="Detergent","Household", E235="Shampoo","Personal Care", E235="Notebook","Stationery")</f>
        <v>Stationery</v>
      </c>
      <c r="H235" s="12">
        <v>5</v>
      </c>
      <c r="I235" s="15">
        <v>24.77</v>
      </c>
      <c r="J235" s="14">
        <f t="shared" si="3"/>
        <v>123.85</v>
      </c>
    </row>
    <row r="236" spans="1:10" x14ac:dyDescent="0.35">
      <c r="A236" s="6">
        <v>235</v>
      </c>
      <c r="B236" s="4" t="s">
        <v>2</v>
      </c>
      <c r="C236" t="s">
        <v>3</v>
      </c>
      <c r="D236" s="4" t="s">
        <v>9</v>
      </c>
      <c r="E236" s="4" t="s">
        <v>12</v>
      </c>
      <c r="F236" s="4" t="s">
        <v>16</v>
      </c>
      <c r="G236" s="10" t="str" cm="1">
        <f t="array" ref="G236">_xlfn.IFS(E236="Apple","Fruits", E236="Orange Juice","Beverages", E236="Detergent","Household", E236="Shampoo","Personal Care", E236="Notebook","Stationery")</f>
        <v>Fruits</v>
      </c>
      <c r="H236" s="12">
        <v>2</v>
      </c>
      <c r="I236" s="15">
        <v>27.35</v>
      </c>
      <c r="J236" s="14">
        <f t="shared" si="3"/>
        <v>54.7</v>
      </c>
    </row>
    <row r="237" spans="1:10" x14ac:dyDescent="0.35">
      <c r="A237" s="6">
        <v>236</v>
      </c>
      <c r="B237" s="4" t="s">
        <v>2</v>
      </c>
      <c r="C237" t="s">
        <v>14</v>
      </c>
      <c r="D237" s="4" t="s">
        <v>4</v>
      </c>
      <c r="E237" s="4" t="s">
        <v>12</v>
      </c>
      <c r="F237" s="4" t="s">
        <v>16</v>
      </c>
      <c r="G237" s="10" t="str" cm="1">
        <f t="array" ref="G237">_xlfn.IFS(E237="Apple","Fruits", E237="Orange Juice","Beverages", E237="Detergent","Household", E237="Shampoo","Personal Care", E237="Notebook","Stationery")</f>
        <v>Fruits</v>
      </c>
      <c r="H237" s="12">
        <v>16</v>
      </c>
      <c r="I237" s="15">
        <v>197.91</v>
      </c>
      <c r="J237" s="14">
        <f t="shared" si="3"/>
        <v>3166.56</v>
      </c>
    </row>
    <row r="238" spans="1:10" x14ac:dyDescent="0.35">
      <c r="A238" s="6">
        <v>237</v>
      </c>
      <c r="B238" s="4" t="s">
        <v>7</v>
      </c>
      <c r="C238" t="s">
        <v>8</v>
      </c>
      <c r="D238" s="4" t="s">
        <v>9</v>
      </c>
      <c r="E238" s="4" t="s">
        <v>15</v>
      </c>
      <c r="F238" s="4" t="s">
        <v>16</v>
      </c>
      <c r="G238" s="10" t="str" cm="1">
        <f t="array" ref="G238">_xlfn.IFS(E238="Apple","Fruits", E238="Orange Juice","Beverages", E238="Detergent","Household", E238="Shampoo","Personal Care", E238="Notebook","Stationery")</f>
        <v>Household</v>
      </c>
      <c r="H238" s="12">
        <v>8</v>
      </c>
      <c r="I238" s="15">
        <v>154.94</v>
      </c>
      <c r="J238" s="14">
        <f t="shared" si="3"/>
        <v>1239.52</v>
      </c>
    </row>
    <row r="239" spans="1:10" x14ac:dyDescent="0.35">
      <c r="A239" s="6">
        <v>238</v>
      </c>
      <c r="B239" s="4" t="s">
        <v>2</v>
      </c>
      <c r="C239" t="s">
        <v>3</v>
      </c>
      <c r="D239" s="4" t="s">
        <v>4</v>
      </c>
      <c r="E239" s="4" t="s">
        <v>5</v>
      </c>
      <c r="F239" s="4" t="s">
        <v>18</v>
      </c>
      <c r="G239" s="10" t="str" cm="1">
        <f t="array" ref="G239">_xlfn.IFS(E239="Apple","Fruits", E239="Orange Juice","Beverages", E239="Detergent","Household", E239="Shampoo","Personal Care", E239="Notebook","Stationery")</f>
        <v>Personal Care</v>
      </c>
      <c r="H239" s="12">
        <v>1</v>
      </c>
      <c r="I239" s="15">
        <v>8.1300000000000008</v>
      </c>
      <c r="J239" s="14">
        <f t="shared" si="3"/>
        <v>8.1300000000000008</v>
      </c>
    </row>
    <row r="240" spans="1:10" x14ac:dyDescent="0.35">
      <c r="A240" s="6">
        <v>239</v>
      </c>
      <c r="B240" s="4" t="s">
        <v>2</v>
      </c>
      <c r="C240" t="s">
        <v>14</v>
      </c>
      <c r="D240" s="4" t="s">
        <v>4</v>
      </c>
      <c r="E240" s="4" t="s">
        <v>5</v>
      </c>
      <c r="F240" s="4" t="s">
        <v>18</v>
      </c>
      <c r="G240" s="10" t="str" cm="1">
        <f t="array" ref="G240">_xlfn.IFS(E240="Apple","Fruits", E240="Orange Juice","Beverages", E240="Detergent","Household", E240="Shampoo","Personal Care", E240="Notebook","Stationery")</f>
        <v>Personal Care</v>
      </c>
      <c r="H240" s="12">
        <v>15</v>
      </c>
      <c r="I240" s="15">
        <v>318.58999999999997</v>
      </c>
      <c r="J240" s="14">
        <f t="shared" si="3"/>
        <v>4778.8499999999995</v>
      </c>
    </row>
    <row r="241" spans="1:10" x14ac:dyDescent="0.35">
      <c r="A241" s="6">
        <v>240</v>
      </c>
      <c r="B241" s="4" t="s">
        <v>7</v>
      </c>
      <c r="C241" t="s">
        <v>8</v>
      </c>
      <c r="D241" s="4" t="s">
        <v>9</v>
      </c>
      <c r="E241" s="4" t="s">
        <v>5</v>
      </c>
      <c r="F241" s="4" t="s">
        <v>13</v>
      </c>
      <c r="G241" s="10" t="str" cm="1">
        <f t="array" ref="G241">_xlfn.IFS(E241="Apple","Fruits", E241="Orange Juice","Beverages", E241="Detergent","Household", E241="Shampoo","Personal Care", E241="Notebook","Stationery")</f>
        <v>Personal Care</v>
      </c>
      <c r="H241" s="12">
        <v>16</v>
      </c>
      <c r="I241" s="15">
        <v>184.38</v>
      </c>
      <c r="J241" s="14">
        <f t="shared" si="3"/>
        <v>2950.08</v>
      </c>
    </row>
    <row r="242" spans="1:10" x14ac:dyDescent="0.35">
      <c r="A242" s="6">
        <v>241</v>
      </c>
      <c r="B242" s="4" t="s">
        <v>7</v>
      </c>
      <c r="C242" t="s">
        <v>8</v>
      </c>
      <c r="D242" s="4" t="s">
        <v>9</v>
      </c>
      <c r="E242" s="4" t="s">
        <v>5</v>
      </c>
      <c r="F242" s="4" t="s">
        <v>16</v>
      </c>
      <c r="G242" s="10" t="str" cm="1">
        <f t="array" ref="G242">_xlfn.IFS(E242="Apple","Fruits", E242="Orange Juice","Beverages", E242="Detergent","Household", E242="Shampoo","Personal Care", E242="Notebook","Stationery")</f>
        <v>Personal Care</v>
      </c>
      <c r="H242" s="12">
        <v>10</v>
      </c>
      <c r="I242" s="15">
        <v>38.630000000000003</v>
      </c>
      <c r="J242" s="14">
        <f t="shared" si="3"/>
        <v>386.3</v>
      </c>
    </row>
    <row r="243" spans="1:10" x14ac:dyDescent="0.35">
      <c r="A243" s="6">
        <v>242</v>
      </c>
      <c r="B243" s="4" t="s">
        <v>2</v>
      </c>
      <c r="C243" t="s">
        <v>3</v>
      </c>
      <c r="D243" s="4" t="s">
        <v>9</v>
      </c>
      <c r="E243" s="4" t="s">
        <v>5</v>
      </c>
      <c r="F243" s="4" t="s">
        <v>11</v>
      </c>
      <c r="G243" s="10" t="str" cm="1">
        <f t="array" ref="G243">_xlfn.IFS(E243="Apple","Fruits", E243="Orange Juice","Beverages", E243="Detergent","Household", E243="Shampoo","Personal Care", E243="Notebook","Stationery")</f>
        <v>Personal Care</v>
      </c>
      <c r="H243" s="12">
        <v>13</v>
      </c>
      <c r="I243" s="15">
        <v>94.17</v>
      </c>
      <c r="J243" s="14">
        <f t="shared" si="3"/>
        <v>1224.21</v>
      </c>
    </row>
    <row r="244" spans="1:10" x14ac:dyDescent="0.35">
      <c r="A244" s="6">
        <v>243</v>
      </c>
      <c r="B244" s="4" t="s">
        <v>2</v>
      </c>
      <c r="C244" t="s">
        <v>14</v>
      </c>
      <c r="D244" s="4" t="s">
        <v>9</v>
      </c>
      <c r="E244" s="4" t="s">
        <v>5</v>
      </c>
      <c r="F244" s="4" t="s">
        <v>6</v>
      </c>
      <c r="G244" s="10" t="str" cm="1">
        <f t="array" ref="G244">_xlfn.IFS(E244="Apple","Fruits", E244="Orange Juice","Beverages", E244="Detergent","Household", E244="Shampoo","Personal Care", E244="Notebook","Stationery")</f>
        <v>Personal Care</v>
      </c>
      <c r="H244" s="12">
        <v>6</v>
      </c>
      <c r="I244" s="15">
        <v>65.61</v>
      </c>
      <c r="J244" s="14">
        <f t="shared" si="3"/>
        <v>393.65999999999997</v>
      </c>
    </row>
    <row r="245" spans="1:10" x14ac:dyDescent="0.35">
      <c r="A245" s="6">
        <v>244</v>
      </c>
      <c r="B245" s="4" t="s">
        <v>7</v>
      </c>
      <c r="C245" t="s">
        <v>8</v>
      </c>
      <c r="D245" s="4" t="s">
        <v>9</v>
      </c>
      <c r="E245" s="4" t="s">
        <v>12</v>
      </c>
      <c r="F245" s="4" t="s">
        <v>6</v>
      </c>
      <c r="G245" s="10" t="str" cm="1">
        <f t="array" ref="G245">_xlfn.IFS(E245="Apple","Fruits", E245="Orange Juice","Beverages", E245="Detergent","Household", E245="Shampoo","Personal Care", E245="Notebook","Stationery")</f>
        <v>Fruits</v>
      </c>
      <c r="H245" s="12">
        <v>15</v>
      </c>
      <c r="I245" s="15">
        <v>200.14</v>
      </c>
      <c r="J245" s="14">
        <f t="shared" si="3"/>
        <v>3002.1</v>
      </c>
    </row>
    <row r="246" spans="1:10" x14ac:dyDescent="0.35">
      <c r="A246" s="6">
        <v>245</v>
      </c>
      <c r="B246" s="4" t="s">
        <v>2</v>
      </c>
      <c r="C246" t="s">
        <v>14</v>
      </c>
      <c r="D246" s="4" t="s">
        <v>9</v>
      </c>
      <c r="E246" s="4" t="s">
        <v>5</v>
      </c>
      <c r="F246" s="4" t="s">
        <v>16</v>
      </c>
      <c r="G246" s="10" t="str" cm="1">
        <f t="array" ref="G246">_xlfn.IFS(E246="Apple","Fruits", E246="Orange Juice","Beverages", E246="Detergent","Household", E246="Shampoo","Personal Care", E246="Notebook","Stationery")</f>
        <v>Personal Care</v>
      </c>
      <c r="H246" s="12">
        <v>16</v>
      </c>
      <c r="I246" s="15">
        <v>266.04000000000002</v>
      </c>
      <c r="J246" s="14">
        <f t="shared" si="3"/>
        <v>4256.6400000000003</v>
      </c>
    </row>
    <row r="247" spans="1:10" x14ac:dyDescent="0.35">
      <c r="A247" s="6">
        <v>246</v>
      </c>
      <c r="B247" s="4" t="s">
        <v>2</v>
      </c>
      <c r="C247" t="s">
        <v>3</v>
      </c>
      <c r="D247" s="4" t="s">
        <v>4</v>
      </c>
      <c r="E247" s="4" t="s">
        <v>10</v>
      </c>
      <c r="F247" s="4" t="s">
        <v>18</v>
      </c>
      <c r="G247" s="10" t="str" cm="1">
        <f t="array" ref="G247">_xlfn.IFS(E247="Apple","Fruits", E247="Orange Juice","Beverages", E247="Detergent","Household", E247="Shampoo","Personal Care", E247="Notebook","Stationery")</f>
        <v>Stationery</v>
      </c>
      <c r="H247" s="12">
        <v>9</v>
      </c>
      <c r="I247" s="15">
        <v>176.23</v>
      </c>
      <c r="J247" s="14">
        <f t="shared" si="3"/>
        <v>1586.07</v>
      </c>
    </row>
    <row r="248" spans="1:10" x14ac:dyDescent="0.35">
      <c r="A248" s="6">
        <v>247</v>
      </c>
      <c r="B248" s="4" t="s">
        <v>2</v>
      </c>
      <c r="C248" t="s">
        <v>14</v>
      </c>
      <c r="D248" s="4" t="s">
        <v>9</v>
      </c>
      <c r="E248" s="4" t="s">
        <v>15</v>
      </c>
      <c r="F248" s="4" t="s">
        <v>18</v>
      </c>
      <c r="G248" s="10" t="str" cm="1">
        <f t="array" ref="G248">_xlfn.IFS(E248="Apple","Fruits", E248="Orange Juice","Beverages", E248="Detergent","Household", E248="Shampoo","Personal Care", E248="Notebook","Stationery")</f>
        <v>Household</v>
      </c>
      <c r="H248" s="12">
        <v>3</v>
      </c>
      <c r="I248" s="15">
        <v>28.28</v>
      </c>
      <c r="J248" s="14">
        <f t="shared" si="3"/>
        <v>84.84</v>
      </c>
    </row>
    <row r="249" spans="1:10" x14ac:dyDescent="0.35">
      <c r="A249" s="6">
        <v>248</v>
      </c>
      <c r="B249" s="4" t="s">
        <v>2</v>
      </c>
      <c r="C249" t="s">
        <v>3</v>
      </c>
      <c r="D249" s="4" t="s">
        <v>4</v>
      </c>
      <c r="E249" s="4" t="s">
        <v>12</v>
      </c>
      <c r="F249" s="4" t="s">
        <v>13</v>
      </c>
      <c r="G249" s="10" t="str" cm="1">
        <f t="array" ref="G249">_xlfn.IFS(E249="Apple","Fruits", E249="Orange Juice","Beverages", E249="Detergent","Household", E249="Shampoo","Personal Care", E249="Notebook","Stationery")</f>
        <v>Fruits</v>
      </c>
      <c r="H249" s="12">
        <v>17</v>
      </c>
      <c r="I249" s="15">
        <v>246.11</v>
      </c>
      <c r="J249" s="14">
        <f t="shared" si="3"/>
        <v>4183.87</v>
      </c>
    </row>
    <row r="250" spans="1:10" x14ac:dyDescent="0.35">
      <c r="A250" s="6">
        <v>249</v>
      </c>
      <c r="B250" s="4" t="s">
        <v>2</v>
      </c>
      <c r="C250" t="s">
        <v>3</v>
      </c>
      <c r="D250" s="4" t="s">
        <v>9</v>
      </c>
      <c r="E250" s="4" t="s">
        <v>15</v>
      </c>
      <c r="F250" s="4" t="s">
        <v>6</v>
      </c>
      <c r="G250" s="10" t="str" cm="1">
        <f t="array" ref="G250">_xlfn.IFS(E250="Apple","Fruits", E250="Orange Juice","Beverages", E250="Detergent","Household", E250="Shampoo","Personal Care", E250="Notebook","Stationery")</f>
        <v>Household</v>
      </c>
      <c r="H250" s="12">
        <v>19</v>
      </c>
      <c r="I250" s="15">
        <v>195.37</v>
      </c>
      <c r="J250" s="14">
        <f t="shared" si="3"/>
        <v>3712.03</v>
      </c>
    </row>
    <row r="251" spans="1:10" x14ac:dyDescent="0.35">
      <c r="A251" s="6">
        <v>250</v>
      </c>
      <c r="B251" s="4" t="s">
        <v>7</v>
      </c>
      <c r="C251" t="s">
        <v>8</v>
      </c>
      <c r="D251" s="4" t="s">
        <v>4</v>
      </c>
      <c r="E251" s="4" t="s">
        <v>12</v>
      </c>
      <c r="F251" s="4" t="s">
        <v>18</v>
      </c>
      <c r="G251" s="10" t="str" cm="1">
        <f t="array" ref="G251">_xlfn.IFS(E251="Apple","Fruits", E251="Orange Juice","Beverages", E251="Detergent","Household", E251="Shampoo","Personal Care", E251="Notebook","Stationery")</f>
        <v>Fruits</v>
      </c>
      <c r="H251" s="12">
        <v>18</v>
      </c>
      <c r="I251" s="15">
        <v>195.87</v>
      </c>
      <c r="J251" s="14">
        <f t="shared" si="3"/>
        <v>3525.66</v>
      </c>
    </row>
    <row r="252" spans="1:10" x14ac:dyDescent="0.35">
      <c r="A252"/>
      <c r="B252"/>
      <c r="D252"/>
      <c r="E252"/>
      <c r="F252"/>
      <c r="G252"/>
      <c r="H252"/>
      <c r="I252"/>
      <c r="J252"/>
    </row>
    <row r="253" spans="1:10" x14ac:dyDescent="0.35">
      <c r="A253"/>
      <c r="B253"/>
      <c r="D253"/>
      <c r="E253"/>
      <c r="F253"/>
      <c r="G253"/>
      <c r="H253"/>
      <c r="I253"/>
      <c r="J253"/>
    </row>
    <row r="254" spans="1:10" x14ac:dyDescent="0.35">
      <c r="A254"/>
      <c r="B254"/>
      <c r="D254"/>
      <c r="E254"/>
      <c r="F254"/>
      <c r="G254"/>
      <c r="H254"/>
      <c r="I254"/>
      <c r="J254"/>
    </row>
    <row r="255" spans="1:10" x14ac:dyDescent="0.35">
      <c r="B255" s="5"/>
      <c r="C255" s="1"/>
      <c r="D255" s="5"/>
      <c r="G255" s="11"/>
    </row>
    <row r="256" spans="1:10" x14ac:dyDescent="0.35">
      <c r="B256" s="5"/>
      <c r="C256" s="1"/>
      <c r="D256" s="5"/>
      <c r="G256" s="11"/>
    </row>
    <row r="257" spans="2:5" x14ac:dyDescent="0.35">
      <c r="B257" s="5"/>
      <c r="C257" s="1"/>
      <c r="D257" s="5"/>
    </row>
    <row r="258" spans="2:5" x14ac:dyDescent="0.35">
      <c r="B258" s="5"/>
      <c r="E258" s="5"/>
    </row>
    <row r="260" spans="2:5" x14ac:dyDescent="0.35">
      <c r="B260" s="5"/>
    </row>
  </sheetData>
  <autoFilter ref="A1:I256" xr:uid="{273DD0EC-2576-45B9-AD99-C7E1F8ACC186}"/>
  <mergeCells count="3">
    <mergeCell ref="L3:M3"/>
    <mergeCell ref="N3:O3"/>
    <mergeCell ref="P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Thanh Tiu</cp:lastModifiedBy>
  <dcterms:created xsi:type="dcterms:W3CDTF">2024-12-20T03:38:51Z</dcterms:created>
  <dcterms:modified xsi:type="dcterms:W3CDTF">2026-05-17T13:16:25Z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